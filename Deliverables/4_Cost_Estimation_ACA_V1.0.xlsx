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ference" sheetId="2" state="visible" r:id="rId4"/>
    <sheet name="Embeddings" sheetId="3" state="visible" r:id="rId5"/>
    <sheet name="Infrastructure" sheetId="4" state="visible" r:id="rId6"/>
    <sheet name="Cost Savings" sheetId="5" state="visible" r:id="rId7"/>
    <sheet name="Assumptions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<sst xmlns="http://schemas.openxmlformats.org/spreadsheetml/2006/main" count="508" uniqueCount="328">
  <si>
    <t xml:space="preserve">ACA – Auto Contract Analyzer · Cost Estimation</t>
  </si>
  <si>
    <t xml:space="preserve">Deliverable #4 · Vaibhav Soni, AI PM · V1.0 · 10 Oct 2026 · all assumptions approved by Vaibhav (see Assumptions Log)</t>
  </si>
  <si>
    <t xml:space="preserve">Headline (per month unless stated)</t>
  </si>
  <si>
    <t xml:space="preserve">Low</t>
  </si>
  <si>
    <t xml:space="preserve">Median</t>
  </si>
  <si>
    <t xml:space="preserve">High</t>
  </si>
  <si>
    <t xml:space="preserve">Note</t>
  </si>
  <si>
    <t xml:space="preserve">Contracts + NDAs received</t>
  </si>
  <si>
    <t xml:space="preserve">Today 7–9 a month; High = 2x</t>
  </si>
  <si>
    <t xml:space="preserve">AI reviews run (incl. re-reviews after negotiation)</t>
  </si>
  <si>
    <t xml:space="preserve">4 AI calls each</t>
  </si>
  <si>
    <t xml:space="preserve">Cost of one contract review — Claude Fable 5.1</t>
  </si>
  <si>
    <t xml:space="preserve">Cost of one contract review — Claude Opus 5.5</t>
  </si>
  <si>
    <t xml:space="preserve">Cost of one contract review — Claude Sonnet 5.5</t>
  </si>
  <si>
    <t xml:space="preserve">Cost of one contract review — Claude Haiku 5.5</t>
  </si>
  <si>
    <t xml:space="preserve">AI inference per month — Claude Fable 5.1</t>
  </si>
  <si>
    <t xml:space="preserve">AI inference per month — Claude Opus 5.5</t>
  </si>
  <si>
    <t xml:space="preserve">AI inference per month — Claude Sonnet 5.5</t>
  </si>
  <si>
    <t xml:space="preserve">AI inference per month — Claude Haiku 5.5</t>
  </si>
  <si>
    <t xml:space="preserve">Embeddings per month</t>
  </si>
  <si>
    <t xml:space="preserve">Rounding error, as in Session 9</t>
  </si>
  <si>
    <t xml:space="preserve">Infrastructure per month (production)</t>
  </si>
  <si>
    <t xml:space="preserve">Prototype runs on free tiers ($0)</t>
  </si>
  <si>
    <t xml:space="preserve">ACA running cost per month (model in Cost Savings!C4)</t>
  </si>
  <si>
    <t xml:space="preserve">One-time setup: register build + indexing (selected model)</t>
  </si>
  <si>
    <t xml:space="preserve">17 signed contracts</t>
  </si>
  <si>
    <t xml:space="preserve">KD hours saved per month (North Star)</t>
  </si>
  <si>
    <t xml:space="preserve">PRD target ≥ 10</t>
  </si>
  <si>
    <t xml:space="preserve">Cost today (KD time + counsel)</t>
  </si>
  <si>
    <t xml:space="preserve">KD hour valued at $50</t>
  </si>
  <si>
    <t xml:space="preserve">Cost with ACA (KD time + counsel + ACA)</t>
  </si>
  <si>
    <t xml:space="preserve">Savings per month</t>
  </si>
  <si>
    <t xml:space="preserve">% savings</t>
  </si>
  <si>
    <t xml:space="preserve">What the numbers say</t>
  </si>
  <si>
    <t xml:space="preserve">• AI cost is tiny next to the value of KD's time: even the top tier (Claude Fable 5.1) in the High case stays under $50 a month; Sonnet 5.5 at Median is ~$1.80, while one saved KD hour is worth $50.</t>
  </si>
  <si>
    <t xml:space="preserve">• So cost does not force a cheap model. Pick the tier that passes the §11 evals (conflict recall 100%, clause precision ≥ 80%); a stronger model on the conflict check is affordable.</t>
  </si>
  <si>
    <t xml:space="preserve">• The 4-call design (re-sending the contract each call) is affordable; prompt caching of the contract would cut input cost further but is not counted here.</t>
  </si>
  <si>
    <t xml:space="preserve">• Contract length drives the bill: a 20k-word MSA review costs ~4x a dataset-length draft (Sonnet 5.5: $0.29 vs $0.08). Even the largest call (~31K input tokens) stays far below the 272K long-context threshold.</t>
  </si>
  <si>
    <t xml:space="preserve">• Fixed infrastructure (~$52/month in production) is larger than the AI cost at today's volume; the prototype runs on free tiers.</t>
  </si>
  <si>
    <t xml:space="preserve">• The business case rests on KD's hours (North Star), not on token cost: ~10–34 hours a month saved, ~35–60% of today's cost.</t>
  </si>
  <si>
    <t xml:space="preserve">Legend</t>
  </si>
  <si>
    <t xml:space="preserve">Blue = input you can change</t>
  </si>
  <si>
    <t xml:space="preserve">Black = formula</t>
  </si>
  <si>
    <t xml:space="preserve">Green = linked from another tab</t>
  </si>
  <si>
    <t xml:space="preserve">Method: Session 9 master sheet (Inference → Embeddings → Cost Savings), with Low / Median / High per assumption.</t>
  </si>
  <si>
    <t xml:space="preserve">Inference — LLM token cost of one ACA contract review (Session 9 method)</t>
  </si>
  <si>
    <t xml:space="preserve">Low / Median / High per assumption (Session 9: 'build a low, median and high estimate'). A 'query' here = one AI call. One contract review = 4 AI calls (PRD §9.3 steps 6–9), so it gets its own table; obligation extraction after signing is a different prompt shape, so it gets another.</t>
  </si>
  <si>
    <t xml:space="preserve">Model Selection + Cost Estimation</t>
  </si>
  <si>
    <t xml:space="preserve">Description</t>
  </si>
  <si>
    <t xml:space="preserve">Where the number came from</t>
  </si>
  <si>
    <t xml:space="preserve">Status</t>
  </si>
  <si>
    <t xml:space="preserve">Model Name</t>
  </si>
  <si>
    <t xml:space="preserve">Input cost($) per 1M token</t>
  </si>
  <si>
    <t xml:space="preserve">Output cost($) per 1M token</t>
  </si>
  <si>
    <t xml:space="preserve">Volume (per month)</t>
  </si>
  <si>
    <t xml:space="preserve">Claude Fable 5.1</t>
  </si>
  <si>
    <t xml:space="preserve">Tokens per word</t>
  </si>
  <si>
    <t xml:space="preserve">Session 9 rule of thumb (1.2–1.3x word count)</t>
  </si>
  <si>
    <t xml:space="preserve">Session 9</t>
  </si>
  <si>
    <t xml:space="preserve">Claude Opus 5.5</t>
  </si>
  <si>
    <t xml:space="preserve">Contracts received (MSA / SOW / BAA / partner)</t>
  </si>
  <si>
    <t xml:space="preserve">Vaibhav 7 Oct: 3–4 contracts a month. High = 2x volume (PRD §8 scalability)</t>
  </si>
  <si>
    <t xml:space="preserve">Vaibhav 7 Oct / PRD §8</t>
  </si>
  <si>
    <t xml:space="preserve">Claude Sonnet 5.5</t>
  </si>
  <si>
    <t xml:space="preserve">NDAs received</t>
  </si>
  <si>
    <t xml:space="preserve">Vaibhav 7 Oct: 4–5 NDAs a month. High = 2x volume (PRD §8)</t>
  </si>
  <si>
    <t xml:space="preserve">Claude Haiku 5.5</t>
  </si>
  <si>
    <t xml:space="preserve">Review rounds per contract (re-upload after each negotiation round)</t>
  </si>
  <si>
    <t xml:space="preserve">Vaibhav 10 Oct approved ~2 rounds (Median). Low 1 / High 3 proposed by Claude</t>
  </si>
  <si>
    <t xml:space="preserve">Vaibhav 10 Oct</t>
  </si>
  <si>
    <t xml:space="preserve">Claude API standard prices, platform.claude.com/docs pricing page, checked 10 Oct 2026. Haiku 5.5 price rises above 100K input tokens per call (largest ACA call ~31K).</t>
  </si>
  <si>
    <t xml:space="preserve">Review rounds per NDA</t>
  </si>
  <si>
    <t xml:space="preserve">NDAs are usually short and rarely renegotiated; High allows one redraft</t>
  </si>
  <si>
    <t xml:space="preserve">Contract reviews per month</t>
  </si>
  <si>
    <t xml:space="preserve">Formula: contracts received x review rounds</t>
  </si>
  <si>
    <t xml:space="preserve">Cost per contract review ($)</t>
  </si>
  <si>
    <t xml:space="preserve">NDA reviews per month</t>
  </si>
  <si>
    <t xml:space="preserve">Formula: NDAs received x review rounds</t>
  </si>
  <si>
    <t xml:space="preserve">Contracts + NDAs signed per month (obligation extraction)</t>
  </si>
  <si>
    <t xml:space="preserve">Assumes every contract and NDA received is eventually signed (upper bound)</t>
  </si>
  <si>
    <t xml:space="preserve">Table A — Contract review: 4 AI calls per review (input tokens)</t>
  </si>
  <si>
    <t xml:space="preserve">Words per contract</t>
  </si>
  <si>
    <t xml:space="preserve">Low = average of the 10 in-scope incoming drafts in the dataset (largest: Harrington MSA 3,416). Median/High = real client-paper MSAs ~10–20k words (PRD §8)</t>
  </si>
  <si>
    <t xml:space="preserve">Dataset / PRD §8</t>
  </si>
  <si>
    <t xml:space="preserve">Contract tokens (masked text)</t>
  </si>
  <si>
    <t xml:space="preserve">Formula: words x tokens per word</t>
  </si>
  <si>
    <t xml:space="preserve">AI calls per review</t>
  </si>
  <si>
    <t xml:space="preserve">Call 1 read every clause + key terms · Call 2 vs KD's positions &amp; incidents · Call 3 vs commitments register · Call 4 fairness / mutuality (PRD §9.3 steps 6–9). Each call re-sends the contract</t>
  </si>
  <si>
    <t xml:space="preserve">Cost per NDA review ($)</t>
  </si>
  <si>
    <t xml:space="preserve">System prompt per call (tokens)</t>
  </si>
  <si>
    <t xml:space="preserve">Session 9 chatbot prompt = 250. ACA prompts also carry guardrails, 'no source, no flag' citation rules and the output format</t>
  </si>
  <si>
    <t xml:space="preserve">Deal metadata per call (tokens)</t>
  </si>
  <si>
    <t xml:space="preserve">Type, counterparty, entity, value, deadline, POC (PRD §7.1)</t>
  </si>
  <si>
    <t xml:space="preserve">Call 2 — KD's positions: checklist + negotiation notes (words, sent in full)</t>
  </si>
  <si>
    <t xml:space="preserve">Dataset: karandeep_contract_checklist.md 377 + negotiation_notes.md 1,092 words</t>
  </si>
  <si>
    <t xml:space="preserve">Dataset</t>
  </si>
  <si>
    <t xml:space="preserve">Call 2 — past-incident chunk size (tokens)</t>
  </si>
  <si>
    <t xml:space="preserve">Meeting notes / post-mortems are short (207–332 words each)</t>
  </si>
  <si>
    <t xml:space="preserve">Call 2 — past-incident top_k</t>
  </si>
  <si>
    <t xml:space="preserve">Session 9 top_k = 3</t>
  </si>
  <si>
    <t xml:space="preserve">Call 3 — commitments-register entry size (tokens)</t>
  </si>
  <si>
    <t xml:space="preserve">One obligation + clause citation + term (PRD FR-5)</t>
  </si>
  <si>
    <t xml:space="preserve">Call 3 — register entries retrieved (top_k)</t>
  </si>
  <si>
    <t xml:space="preserve">Higher than 3 because conflicts are tuned for recall (PRD §5: never miss one)</t>
  </si>
  <si>
    <t xml:space="preserve">Cost per obligation extraction ($)</t>
  </si>
  <si>
    <t xml:space="preserve">Call 3 — signed-contract clause chunk size (tokens)</t>
  </si>
  <si>
    <t xml:space="preserve">Session 9 chunk size 600 (full source clause for citation check)</t>
  </si>
  <si>
    <t xml:space="preserve">Call 3 — signed-contract clauses retrieved (top_k)</t>
  </si>
  <si>
    <t xml:space="preserve">Up to 5 source clauses so both sides of a collision can be quoted</t>
  </si>
  <si>
    <t xml:space="preserve">Call 4 — AtliQ entity facts (words)</t>
  </si>
  <si>
    <t xml:space="preserve">Dataset: atliq_entities.md</t>
  </si>
  <si>
    <t xml:space="preserve">Call 4 — regulation &amp; deal-bundle list (tokens)</t>
  </si>
  <si>
    <t xml:space="preserve">Fixed curated list, 8 countries x sector (PRD FR-8); not yet written</t>
  </si>
  <si>
    <t xml:space="preserve">Contract text across all calls</t>
  </si>
  <si>
    <t xml:space="preserve">Formula: contract tokens x AI calls</t>
  </si>
  <si>
    <t xml:space="preserve">System prompt + metadata across all calls</t>
  </si>
  <si>
    <t xml:space="preserve">Formula: (system prompt + metadata) x AI calls</t>
  </si>
  <si>
    <t xml:space="preserve">Call 2 retrieved context</t>
  </si>
  <si>
    <t xml:space="preserve">Formula: KD positions tokens + incident chunk x top_k</t>
  </si>
  <si>
    <t xml:space="preserve">Total inference cost per month ($)</t>
  </si>
  <si>
    <t xml:space="preserve">Call 3 retrieved context</t>
  </si>
  <si>
    <t xml:space="preserve">Formula: register entry x top_k + clause chunk x top_k</t>
  </si>
  <si>
    <t xml:space="preserve">Call 4 retrieved context</t>
  </si>
  <si>
    <t xml:space="preserve">Formula: entity facts tokens + regulation list</t>
  </si>
  <si>
    <t xml:space="preserve">Total input tokens per contract review</t>
  </si>
  <si>
    <t xml:space="preserve">Sum of the five lines above</t>
  </si>
  <si>
    <t xml:space="preserve">Table A — output tokens</t>
  </si>
  <si>
    <t xml:space="preserve">Call 1 — clause-by-clause key terms</t>
  </si>
  <si>
    <t xml:space="preserve">Structured list of clauses and key terms; grows with contract length</t>
  </si>
  <si>
    <t xml:space="preserve">Call 2 — flags vs KD's positions</t>
  </si>
  <si>
    <t xml:space="preserve">Each flag: quote, source, KD's past position, 'Suggestion – KD decides'</t>
  </si>
  <si>
    <t xml:space="preserve">Formula: review cost x reviews + NDA cost x NDA reviews + extraction cost x documents signed</t>
  </si>
  <si>
    <t xml:space="preserve">Call 3 — conflicts with existing commitments</t>
  </si>
  <si>
    <t xml:space="preserve">Both clauses quoted per conflict</t>
  </si>
  <si>
    <t xml:space="preserve">Call 4 — fairness / mutuality flags</t>
  </si>
  <si>
    <t xml:space="preserve">Mutuality test results + proportionality flag</t>
  </si>
  <si>
    <t xml:space="preserve">One-time register build ($)</t>
  </si>
  <si>
    <t xml:space="preserve">Total output tokens per contract review</t>
  </si>
  <si>
    <t xml:space="preserve">Sum of 4 calls</t>
  </si>
  <si>
    <t xml:space="preserve">Total tokens per contract review</t>
  </si>
  <si>
    <t xml:space="preserve">Input + output</t>
  </si>
  <si>
    <t xml:space="preserve">Largest single call (input tokens)</t>
  </si>
  <si>
    <t xml:space="preserve">Session 9: long-context pricing starts above ~272K input tokens in one call</t>
  </si>
  <si>
    <t xml:space="preserve">Long-context check</t>
  </si>
  <si>
    <t xml:space="preserve">Every call stays on standard pricing</t>
  </si>
  <si>
    <t xml:space="preserve">Table B — NDA review: same 4 calls, shorter document</t>
  </si>
  <si>
    <t xml:space="preserve">Words per NDA</t>
  </si>
  <si>
    <t xml:space="preserve">Low = average of the 2 in-scope NDA drafts (FinServe 1,146, LoopMart 743). Median/High allow longer real NDAs</t>
  </si>
  <si>
    <t xml:space="preserve">Dataset / Vaibhav 10 Oct</t>
  </si>
  <si>
    <t xml:space="preserve">Not applied (conservative): prompt caching of the contract across the 4 calls,</t>
  </si>
  <si>
    <t xml:space="preserve">NDA tokens (masked text)</t>
  </si>
  <si>
    <t xml:space="preserve">and batch pricing for the one-time register build.</t>
  </si>
  <si>
    <t xml:space="preserve">NDA text across all calls</t>
  </si>
  <si>
    <t xml:space="preserve">Formula: NDA tokens x AI calls (Table A)</t>
  </si>
  <si>
    <t xml:space="preserve">System prompt, metadata and retrieved context (same as Table A)</t>
  </si>
  <si>
    <t xml:space="preserve">Linked to Table A</t>
  </si>
  <si>
    <t xml:space="preserve">Total input tokens per NDA review</t>
  </si>
  <si>
    <t xml:space="preserve">Sum</t>
  </si>
  <si>
    <t xml:space="preserve">Total output tokens per NDA review (4 calls)</t>
  </si>
  <si>
    <t xml:space="preserve">Fewer clauses than an MSA: ~600 key terms + ~400 per check call</t>
  </si>
  <si>
    <t xml:space="preserve">Total tokens per NDA review</t>
  </si>
  <si>
    <t xml:space="preserve">Table C — Obligation extraction after KD signs (1 AI call per signed document)</t>
  </si>
  <si>
    <t xml:space="preserve">Average words per signed document</t>
  </si>
  <si>
    <t xml:space="preserve">Weighted average of contracts and NDAs signed (PRD FR-5, FR-17)</t>
  </si>
  <si>
    <t xml:space="preserve">Signed-document tokens</t>
  </si>
  <si>
    <t xml:space="preserve">Total input tokens per extraction</t>
  </si>
  <si>
    <t xml:space="preserve">Formula: document + system prompt + metadata</t>
  </si>
  <si>
    <t xml:space="preserve">Output tokens per extraction (obligations list for KD to confirm)</t>
  </si>
  <si>
    <t xml:space="preserve">Non-compete, exclusivity, MFN, IP, no-hire, term, Affiliates — each with citation</t>
  </si>
  <si>
    <t xml:space="preserve">Total tokens per extraction</t>
  </si>
  <si>
    <t xml:space="preserve">Table D — One-time: build the commitments register from existing signed contracts</t>
  </si>
  <si>
    <t xml:space="preserve">Signed contracts to load</t>
  </si>
  <si>
    <t xml:space="preserve">Dataset: 17 signed contracts across 6 locations</t>
  </si>
  <si>
    <t xml:space="preserve">Average words per signed contract</t>
  </si>
  <si>
    <t xml:space="preserve">Low = dataset (23,180 words / 17). Median/High = Table C average (real contracts are longer)</t>
  </si>
  <si>
    <t xml:space="preserve">Total input tokens (all documents)</t>
  </si>
  <si>
    <t xml:space="preserve">Formula: docs x (document tokens + prompt + metadata)</t>
  </si>
  <si>
    <t xml:space="preserve">Total output tokens (all documents)</t>
  </si>
  <si>
    <t xml:space="preserve">Formula: docs x Table C output</t>
  </si>
  <si>
    <t xml:space="preserve">Embeddings — indexing the knowledge base + embedding each incoming draft</t>
  </si>
  <si>
    <t xml:space="preserve">Linked to Inference</t>
  </si>
  <si>
    <t xml:space="preserve">Embedding cost per 1M tokens ($)</t>
  </si>
  <si>
    <t xml:space="preserve">Session 9 price (text-embedding-3-large). Claude has no embedding model; Anthropic points to Voyage AI (voyage-law-2 $0.12/1M, 50M tokens free), so $0.13 is slightly conservative</t>
  </si>
  <si>
    <t xml:space="preserve">One-time: index the knowledge base (vector DB)</t>
  </si>
  <si>
    <t xml:space="preserve">Signed contracts (tokens)</t>
  </si>
  <si>
    <t xml:space="preserve">Formula: 17 contracts x avg words x tokens per word (Inference Table D)</t>
  </si>
  <si>
    <t xml:space="preserve">KD's checklist + negotiation notes (tokens)</t>
  </si>
  <si>
    <t xml:space="preserve">Meeting notes / past incidents (words)</t>
  </si>
  <si>
    <t xml:space="preserve">Dataset: 4 meeting notes (Brightwater, queue, counsel call, Harrington huddle)</t>
  </si>
  <si>
    <t xml:space="preserve">Meeting notes / past incidents (tokens)</t>
  </si>
  <si>
    <t xml:space="preserve">Entity facts + regulation list (tokens)</t>
  </si>
  <si>
    <t xml:space="preserve">Total tokens for the knowledge base</t>
  </si>
  <si>
    <t xml:space="preserve">One-time indexing cost ($)</t>
  </si>
  <si>
    <t xml:space="preserve">Formula: tokens x cost per 1M / 1,000,000</t>
  </si>
  <si>
    <t xml:space="preserve">Recurring per month</t>
  </si>
  <si>
    <t xml:space="preserve">Newly signed documents added to the index (tokens)</t>
  </si>
  <si>
    <t xml:space="preserve">Formula: documents signed x signed-document tokens (Inference Table C)</t>
  </si>
  <si>
    <t xml:space="preserve">Incoming drafts embedded to search the register (tokens)</t>
  </si>
  <si>
    <t xml:space="preserve">ACA's 'user query' = every clause of the draft, so the whole draft is embedded once per review</t>
  </si>
  <si>
    <t xml:space="preserve">Total embedding tokens per month</t>
  </si>
  <si>
    <t xml:space="preserve">Total embedding cost per month ($)</t>
  </si>
  <si>
    <t xml:space="preserve">Infrastructure — monthly running cost outside the AI tokens</t>
  </si>
  <si>
    <t xml:space="preserve">Same across Low / Median / High: 2x today's volume still fits these plans.</t>
  </si>
  <si>
    <t xml:space="preserve">Component</t>
  </si>
  <si>
    <t xml:space="preserve">Prototype ($/month)</t>
  </si>
  <si>
    <t xml:space="preserve">Production ($/month)</t>
  </si>
  <si>
    <t xml:space="preserve">What it covers / source</t>
  </si>
  <si>
    <t xml:space="preserve">Frontend hosting — Vercel (React)</t>
  </si>
  <si>
    <t xml:space="preserve">Hobby free tier for the prototype; Pro = $20 per seat per month (list price — verify)</t>
  </si>
  <si>
    <t xml:space="preserve">Database + vector store — Supabase (Postgres + pgvector)</t>
  </si>
  <si>
    <t xml:space="preserve">Contracts, register, audit log and embeddings in one place; Free tier → Pro $25/month</t>
  </si>
  <si>
    <t xml:space="preserve">Python AI service — Render (masking, OCR, AI calls)</t>
  </si>
  <si>
    <t xml:space="preserve">Free instance for the prototype; Starter $7/month (always on, needed for 99.9% uptime)</t>
  </si>
  <si>
    <t xml:space="preserve">Email intake address (inbound email parsing)</t>
  </si>
  <si>
    <t xml:space="preserve">Free tier of an inbound-parse service; ~10–20 emails a month</t>
  </si>
  <si>
    <t xml:space="preserve">OCR for scanned contracts — Tesseract (open source)</t>
  </si>
  <si>
    <t xml:space="preserve">Runs inside the Python service; no per-page fee</t>
  </si>
  <si>
    <t xml:space="preserve">Masking — pattern rules + open-source entity recognition</t>
  </si>
  <si>
    <t xml:space="preserve">Runs inside the Python service (PRD FR-4)</t>
  </si>
  <si>
    <t xml:space="preserve">Total infrastructure per month</t>
  </si>
  <si>
    <t xml:space="preserve">Not in this model (Session 9 §7 — sits outside the PM's token estimate)</t>
  </si>
  <si>
    <t xml:space="preserve">• People: engineering build and maintenance, KD's and POCs' time to confirm register entries</t>
  </si>
  <si>
    <t xml:space="preserve">• Outside counsel to review the regulation list before live use (PRD §16)</t>
  </si>
  <si>
    <t xml:space="preserve">• Observability / evaluation tooling beyond the built-in audit log</t>
  </si>
  <si>
    <t xml:space="preserve">• Re-ranking model (not in the V1 design)</t>
  </si>
  <si>
    <t xml:space="preserve">• Data-residency or enterprise API terms if required for real contracts (PRD §16 spike)</t>
  </si>
  <si>
    <t xml:space="preserve">Cost Savings — KD's review time and counsel spend vs ACA running cost</t>
  </si>
  <si>
    <t xml:space="preserve">Model used for the business case</t>
  </si>
  <si>
    <t xml:space="preserve">Pick from the list. Mid tier, as Session 9 chose for its chatbot; per-call tier confirmed by evals (PRD §5)</t>
  </si>
  <si>
    <t xml:space="preserve">Today, without ACA (per month)</t>
  </si>
  <si>
    <t xml:space="preserve">Contracts received</t>
  </si>
  <si>
    <t xml:space="preserve">KD hours per contract today</t>
  </si>
  <si>
    <t xml:space="preserve">Vaibhav 7 Oct: 3–4 hours per complex client-paper contract (PRD §2.3)</t>
  </si>
  <si>
    <t xml:space="preserve">Vaibhav 7 Oct</t>
  </si>
  <si>
    <t xml:space="preserve">KD hours per NDA today</t>
  </si>
  <si>
    <t xml:space="preserve">Vaibhav 7 Oct: ~2 hours per routine review (PRD §2.3)</t>
  </si>
  <si>
    <t xml:space="preserve">KD review hours per month today</t>
  </si>
  <si>
    <t xml:space="preserve">PRD §2.3: ~17–26 hours a month at today's volume</t>
  </si>
  <si>
    <t xml:space="preserve">Value of one KD hour ($)</t>
  </si>
  <si>
    <t xml:space="preserve">KD review cost per month ($)</t>
  </si>
  <si>
    <t xml:space="preserve">Formula: hours x hourly value</t>
  </si>
  <si>
    <t xml:space="preserve">Outside counsel per year without ACA ($)</t>
  </si>
  <si>
    <t xml:space="preserve">Vaibhav 7 Oct: ~$5,000/year today. High assumes counsel spend doubles with 2x volume</t>
  </si>
  <si>
    <t xml:space="preserve">Vaibhav 7 Oct / 10 Oct</t>
  </si>
  <si>
    <t xml:space="preserve">Outside counsel per month ($)</t>
  </si>
  <si>
    <t xml:space="preserve">Formula: yearly / 12</t>
  </si>
  <si>
    <t xml:space="preserve">Total cost today per month ($)</t>
  </si>
  <si>
    <t xml:space="preserve">KD time + counsel</t>
  </si>
  <si>
    <t xml:space="preserve">With ACA (per month)</t>
  </si>
  <si>
    <t xml:space="preserve">KD hours per contract or NDA with ACA</t>
  </si>
  <si>
    <t xml:space="preserve">PRD §12 North Star target: KD time ≤ 1 hour per contract</t>
  </si>
  <si>
    <t xml:space="preserve">PRD §12</t>
  </si>
  <si>
    <t xml:space="preserve">KD review hours per month with ACA</t>
  </si>
  <si>
    <t xml:space="preserve">Formula: (contracts + NDAs) x hours with ACA</t>
  </si>
  <si>
    <t xml:space="preserve">Outside counsel per year with ACA ($)</t>
  </si>
  <si>
    <t xml:space="preserve">PRD §12 target: counsel ≤ ~$5,000/year even as volume grows</t>
  </si>
  <si>
    <t xml:space="preserve">ACA inference (selected model) ($)</t>
  </si>
  <si>
    <t xml:space="preserve">Inference tab, 'Total inference cost per month', row for the model in C4</t>
  </si>
  <si>
    <t xml:space="preserve">ACA embeddings ($)</t>
  </si>
  <si>
    <t xml:space="preserve">Embeddings tab, recurring per month</t>
  </si>
  <si>
    <t xml:space="preserve">ACA infrastructure, production ($)</t>
  </si>
  <si>
    <t xml:space="preserve">Infrastructure tab, production total</t>
  </si>
  <si>
    <t xml:space="preserve">ACA running cost per month ($)</t>
  </si>
  <si>
    <t xml:space="preserve">Inference + embeddings + infrastructure</t>
  </si>
  <si>
    <t xml:space="preserve">Total cost with ACA per month ($)</t>
  </si>
  <si>
    <t xml:space="preserve">KD time + counsel + ACA</t>
  </si>
  <si>
    <t xml:space="preserve">Savings</t>
  </si>
  <si>
    <t xml:space="preserve">PRD §12 target: ≥ 10 hours a month at today's volume</t>
  </si>
  <si>
    <t xml:space="preserve">Total savings per month ($)</t>
  </si>
  <si>
    <t xml:space="preserve">Formula: cost today - cost with ACA</t>
  </si>
  <si>
    <t xml:space="preserve">Formula: savings / cost today</t>
  </si>
  <si>
    <t xml:space="preserve">Return on ACA running cost (savings ÷ ACA cost)</t>
  </si>
  <si>
    <t xml:space="preserve">How many dollars saved per dollar spent running ACA</t>
  </si>
  <si>
    <t xml:space="preserve">Not counted above (memo)</t>
  </si>
  <si>
    <t xml:space="preserve">One avoided miss like Brightwater ($, one-off)</t>
  </si>
  <si>
    <t xml:space="preserve">PRD §2.3: $9k settlement credit + $14.2k counsel fees, plus ~2 weeks of senior time. Same 19-day delay under Harrington's terms ≈ $80k</t>
  </si>
  <si>
    <t xml:space="preserve">PRD §2.3</t>
  </si>
  <si>
    <t xml:space="preserve">Months of ACA running cost one avoided miss pays for</t>
  </si>
  <si>
    <t xml:space="preserve">Formula: avoided miss / ACA running cost per month</t>
  </si>
  <si>
    <t xml:space="preserve">Assumptions log — every typed-in number, where it came from, and whether it is approved</t>
  </si>
  <si>
    <t xml:space="preserve">#</t>
  </si>
  <si>
    <t xml:space="preserve">Assumption</t>
  </si>
  <si>
    <t xml:space="preserve">Source</t>
  </si>
  <si>
    <t xml:space="preserve">Tokens per word  (Inference)</t>
  </si>
  <si>
    <t xml:space="preserve">Contracts received (MSA / SOW / BAA / partner)  (Inference)</t>
  </si>
  <si>
    <t xml:space="preserve">NDAs received  (Inference)</t>
  </si>
  <si>
    <t xml:space="preserve">Review rounds per contract (re-upload after each negotiation round)  (Inference)</t>
  </si>
  <si>
    <t xml:space="preserve">Review rounds per NDA  (Inference)</t>
  </si>
  <si>
    <t xml:space="preserve">Words per contract  (Inference)</t>
  </si>
  <si>
    <t xml:space="preserve">AI calls per review  (Inference)</t>
  </si>
  <si>
    <t xml:space="preserve">System prompt per call (tokens)  (Inference)</t>
  </si>
  <si>
    <t xml:space="preserve">Deal metadata per call (tokens)  (Inference)</t>
  </si>
  <si>
    <t xml:space="preserve">Call 2 — KD's positions: checklist + negotiation notes (words, sent in full)  (Inference)</t>
  </si>
  <si>
    <t xml:space="preserve">Call 2 — past-incident chunk size (tokens)  (Inference)</t>
  </si>
  <si>
    <t xml:space="preserve">Call 2 — past-incident top_k  (Inference)</t>
  </si>
  <si>
    <t xml:space="preserve">Call 3 — commitments-register entry size (tokens)  (Inference)</t>
  </si>
  <si>
    <t xml:space="preserve">Call 3 — register entries retrieved (top_k)  (Inference)</t>
  </si>
  <si>
    <t xml:space="preserve">Call 3 — signed-contract clause chunk size (tokens)  (Inference)</t>
  </si>
  <si>
    <t xml:space="preserve">Call 3 — signed-contract clauses retrieved (top_k)  (Inference)</t>
  </si>
  <si>
    <t xml:space="preserve">Call 4 — AtliQ entity facts (words)  (Inference)</t>
  </si>
  <si>
    <t xml:space="preserve">Call 4 — regulation &amp; deal-bundle list (tokens)  (Inference)</t>
  </si>
  <si>
    <t xml:space="preserve">Call 1 — clause-by-clause key terms  (Inference)</t>
  </si>
  <si>
    <t xml:space="preserve">Call 2 — flags vs KD's positions  (Inference)</t>
  </si>
  <si>
    <t xml:space="preserve">Call 3 — conflicts with existing commitments  (Inference)</t>
  </si>
  <si>
    <t xml:space="preserve">Call 4 — fairness / mutuality flags  (Inference)</t>
  </si>
  <si>
    <t xml:space="preserve">Words per NDA  (Inference)</t>
  </si>
  <si>
    <t xml:space="preserve">Total output tokens per NDA review (4 calls)  (Inference)</t>
  </si>
  <si>
    <t xml:space="preserve">Output tokens per extraction (obligations list for KD to confirm)  (Inference)</t>
  </si>
  <si>
    <t xml:space="preserve">Signed contracts to load  (Inference)</t>
  </si>
  <si>
    <t xml:space="preserve">Average words per signed contract  (Inference)</t>
  </si>
  <si>
    <t xml:space="preserve">Embedding cost per 1M tokens ($)  (Embeddings)</t>
  </si>
  <si>
    <t xml:space="preserve">Meeting notes / past incidents (words)  (Embeddings)</t>
  </si>
  <si>
    <t xml:space="preserve">Frontend hosting — Vercel (React)  (Infrastructure)</t>
  </si>
  <si>
    <t xml:space="preserve">Database + vector store — Supabase (Postgres + pgvector)  (Infrastructure)</t>
  </si>
  <si>
    <t xml:space="preserve">Python AI service — Render (masking, OCR, AI calls)  (Infrastructure)</t>
  </si>
  <si>
    <t xml:space="preserve">Email intake address (inbound email parsing)  (Infrastructure)</t>
  </si>
  <si>
    <t xml:space="preserve">OCR for scanned contracts — Tesseract (open source)  (Infrastructure)</t>
  </si>
  <si>
    <t xml:space="preserve">Masking — pattern rules + open-source entity recognition  (Infrastructure)</t>
  </si>
  <si>
    <t xml:space="preserve">Model used for the business case  (Cost Savings)</t>
  </si>
  <si>
    <t xml:space="preserve">Mid tier, as Session 9 chose; per-call tier confirmed by evals (PRD §5)</t>
  </si>
  <si>
    <t xml:space="preserve">KD hours per contract today  (Cost Savings)</t>
  </si>
  <si>
    <t xml:space="preserve">KD hours per NDA today  (Cost Savings)</t>
  </si>
  <si>
    <t xml:space="preserve">Value of one KD hour ($)  (Cost Savings)</t>
  </si>
  <si>
    <t xml:space="preserve">Outside counsel per year without ACA ($)  (Cost Savings)</t>
  </si>
  <si>
    <t xml:space="preserve">KD hours per contract or NDA with ACA  (Cost Savings)</t>
  </si>
  <si>
    <t xml:space="preserve">Outside counsel per year with ACA ($)  (Cost Savings)</t>
  </si>
  <si>
    <t xml:space="preserve">One avoided miss like Brightwater ($, one-off)  (Cost Savings)</t>
  </si>
  <si>
    <t xml:space="preserve">Infrastructure rows: Low column = prototype $/month, Median column = production $/month.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</si>
</sst>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\$#,##0.0000"/>
    <numFmt numFmtId="167" formatCode="\$#,##0.00;&quot;($&quot;#,##0.00\);\-"/>
    <numFmt numFmtId="168" formatCode="#,##0.0"/>
    <numFmt numFmtId="169" formatCode="\$#,##0;&quot;($&quot;#,##0\);\-"/>
    <numFmt numFmtId="170" formatCode="0.0%"/>
    <numFmt numFmtId="171" formatCode="\$#,##0.00"/>
    <numFmt numFmtId="172" formatCode="0.0"/>
    <numFmt numFmtId="173" formatCode="#,##0"/>
    <numFmt numFmtId="174" formatCode="0.0\x"/>
    <numFmt numFmtId="175" formatCode="#,##0.##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5" min="3" style="0" width="14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9.7" hidden="false" customHeight="false" outlineLevel="0" collapsed="false">
      <c r="A2" s="1"/>
      <c r="B2" s="2" t="s">
        <v>0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15" hidden="false" customHeight="false" outlineLevel="0" collapsed="false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customFormat="false" ht="15" hidden="false" customHeight="false" outlineLevel="0" collapsed="false">
      <c r="A6" s="1"/>
      <c r="B6" s="5" t="s">
        <v>7</v>
      </c>
      <c r="C6" s="6" t="n">
        <f aca="false">Inference!C8+Inference!C9</f>
        <v>7</v>
      </c>
      <c r="D6" s="6" t="n">
        <f aca="false">Inference!D8+Inference!D9</f>
        <v>9</v>
      </c>
      <c r="E6" s="6" t="n">
        <f aca="false">Inference!E8+Inference!E9</f>
        <v>18</v>
      </c>
      <c r="F6" s="7" t="s">
        <v>8</v>
      </c>
    </row>
    <row r="7" customFormat="false" ht="15" hidden="false" customHeight="false" outlineLevel="0" collapsed="false">
      <c r="A7" s="1"/>
      <c r="B7" s="5" t="s">
        <v>9</v>
      </c>
      <c r="C7" s="6" t="n">
        <f aca="false">Inference!C12+Inference!C13</f>
        <v>7</v>
      </c>
      <c r="D7" s="6" t="n">
        <f aca="false">Inference!D12+Inference!D13</f>
        <v>13</v>
      </c>
      <c r="E7" s="6" t="n">
        <f aca="false">Inference!E12+Inference!E13</f>
        <v>44</v>
      </c>
      <c r="F7" s="7" t="s">
        <v>10</v>
      </c>
    </row>
    <row r="8" customFormat="false" ht="15" hidden="false" customHeight="false" outlineLevel="0" collapsed="false">
      <c r="A8" s="1"/>
      <c r="B8" s="5" t="s">
        <v>11</v>
      </c>
      <c r="C8" s="8" t="n">
        <f aca="false">Inference!J14</f>
        <v>0.383705</v>
      </c>
      <c r="D8" s="8" t="n">
        <f aca="false">Inference!K14</f>
        <v>0.817841</v>
      </c>
      <c r="E8" s="8" t="n">
        <f aca="false">Inference!L14</f>
        <v>1.447841</v>
      </c>
      <c r="F8" s="7"/>
    </row>
    <row r="9" customFormat="false" ht="15" hidden="false" customHeight="false" outlineLevel="0" collapsed="false">
      <c r="A9" s="1"/>
      <c r="B9" s="5" t="s">
        <v>12</v>
      </c>
      <c r="C9" s="8" t="n">
        <f aca="false">Inference!J15</f>
        <v>0.153482</v>
      </c>
      <c r="D9" s="8" t="n">
        <f aca="false">Inference!K15</f>
        <v>0.3271364</v>
      </c>
      <c r="E9" s="8" t="n">
        <f aca="false">Inference!L15</f>
        <v>0.5791364</v>
      </c>
      <c r="F9" s="7"/>
    </row>
    <row r="10" customFormat="false" ht="15" hidden="false" customHeight="false" outlineLevel="0" collapsed="false">
      <c r="A10" s="1"/>
      <c r="B10" s="5" t="s">
        <v>13</v>
      </c>
      <c r="C10" s="8" t="n">
        <f aca="false">Inference!J16</f>
        <v>0.076741</v>
      </c>
      <c r="D10" s="8" t="n">
        <f aca="false">Inference!K16</f>
        <v>0.1635682</v>
      </c>
      <c r="E10" s="8" t="n">
        <f aca="false">Inference!L16</f>
        <v>0.2895682</v>
      </c>
      <c r="F10" s="7"/>
    </row>
    <row r="11" customFormat="false" ht="15" hidden="false" customHeight="false" outlineLevel="0" collapsed="false">
      <c r="A11" s="1"/>
      <c r="B11" s="5" t="s">
        <v>14</v>
      </c>
      <c r="C11" s="8" t="n">
        <f aca="false">Inference!J17</f>
        <v>0.00383705</v>
      </c>
      <c r="D11" s="8" t="n">
        <f aca="false">Inference!K17</f>
        <v>0.00817841</v>
      </c>
      <c r="E11" s="8" t="n">
        <f aca="false">Inference!L17</f>
        <v>0.01447841</v>
      </c>
      <c r="F11" s="7"/>
    </row>
    <row r="12" customFormat="false" ht="15" hidden="false" customHeight="false" outlineLevel="0" collapsed="false">
      <c r="A12" s="1"/>
      <c r="B12" s="5" t="s">
        <v>15</v>
      </c>
      <c r="C12" s="9" t="n">
        <f aca="false">Inference!J35</f>
        <v>2.674327</v>
      </c>
      <c r="D12" s="9" t="n">
        <f aca="false">Inference!K35</f>
        <v>9.055433</v>
      </c>
      <c r="E12" s="9" t="n">
        <f aca="false">Inference!L35</f>
        <v>46.837004</v>
      </c>
      <c r="F12" s="7"/>
    </row>
    <row r="13" customFormat="false" ht="15" hidden="false" customHeight="false" outlineLevel="0" collapsed="false">
      <c r="A13" s="1"/>
      <c r="B13" s="5" t="s">
        <v>16</v>
      </c>
      <c r="C13" s="9" t="n">
        <f aca="false">Inference!J36</f>
        <v>1.0697308</v>
      </c>
      <c r="D13" s="9" t="n">
        <f aca="false">Inference!K36</f>
        <v>3.6221732</v>
      </c>
      <c r="E13" s="9" t="n">
        <f aca="false">Inference!L36</f>
        <v>18.7348016</v>
      </c>
      <c r="F13" s="7"/>
    </row>
    <row r="14" customFormat="false" ht="15" hidden="false" customHeight="false" outlineLevel="0" collapsed="false">
      <c r="A14" s="1"/>
      <c r="B14" s="5" t="s">
        <v>17</v>
      </c>
      <c r="C14" s="9" t="n">
        <f aca="false">Inference!J37</f>
        <v>0.5348654</v>
      </c>
      <c r="D14" s="9" t="n">
        <f aca="false">Inference!K37</f>
        <v>1.8110866</v>
      </c>
      <c r="E14" s="9" t="n">
        <f aca="false">Inference!L37</f>
        <v>9.3674008</v>
      </c>
      <c r="F14" s="7"/>
    </row>
    <row r="15" customFormat="false" ht="15" hidden="false" customHeight="false" outlineLevel="0" collapsed="false">
      <c r="A15" s="1"/>
      <c r="B15" s="5" t="s">
        <v>18</v>
      </c>
      <c r="C15" s="9" t="n">
        <f aca="false">Inference!J38</f>
        <v>0.02674327</v>
      </c>
      <c r="D15" s="9" t="n">
        <f aca="false">Inference!K38</f>
        <v>0.09055433</v>
      </c>
      <c r="E15" s="9" t="n">
        <f aca="false">Inference!L38</f>
        <v>0.46837004</v>
      </c>
      <c r="F15" s="7"/>
    </row>
    <row r="16" customFormat="false" ht="15" hidden="false" customHeight="false" outlineLevel="0" collapsed="false">
      <c r="A16" s="1"/>
      <c r="B16" s="5" t="s">
        <v>19</v>
      </c>
      <c r="C16" s="9" t="n">
        <f aca="false">Embeddings!C21</f>
        <v>0.003439488</v>
      </c>
      <c r="D16" s="9" t="n">
        <f aca="false">Embeddings!D21</f>
        <v>0.022815</v>
      </c>
      <c r="E16" s="9" t="n">
        <f aca="false">Embeddings!E21</f>
        <v>0.12337</v>
      </c>
      <c r="F16" s="7" t="s">
        <v>20</v>
      </c>
    </row>
    <row r="17" customFormat="false" ht="15" hidden="false" customHeight="false" outlineLevel="0" collapsed="false">
      <c r="A17" s="1"/>
      <c r="B17" s="5" t="s">
        <v>21</v>
      </c>
      <c r="C17" s="9" t="n">
        <f aca="false">Infrastructure!$D$12</f>
        <v>52</v>
      </c>
      <c r="D17" s="9" t="n">
        <f aca="false">Infrastructure!$D$12</f>
        <v>52</v>
      </c>
      <c r="E17" s="9" t="n">
        <f aca="false">Infrastructure!$D$12</f>
        <v>52</v>
      </c>
      <c r="F17" s="7" t="s">
        <v>22</v>
      </c>
    </row>
    <row r="18" customFormat="false" ht="15" hidden="false" customHeight="false" outlineLevel="0" collapsed="false">
      <c r="A18" s="1"/>
      <c r="B18" s="10" t="s">
        <v>23</v>
      </c>
      <c r="C18" s="11" t="n">
        <f aca="false">'Cost Savings'!C28</f>
        <v>52.538304888</v>
      </c>
      <c r="D18" s="11" t="n">
        <f aca="false">'Cost Savings'!D28</f>
        <v>53.8339016</v>
      </c>
      <c r="E18" s="11" t="n">
        <f aca="false">'Cost Savings'!E28</f>
        <v>61.4907708</v>
      </c>
      <c r="F18" s="12"/>
    </row>
    <row r="19" customFormat="false" ht="15" hidden="false" customHeight="false" outlineLevel="0" collapsed="false">
      <c r="A19" s="1"/>
      <c r="B19" s="5" t="s">
        <v>24</v>
      </c>
      <c r="C19" s="9" t="n">
        <f aca="false">INDEX(Inference!$J$43:$L$46,MATCH('Cost Savings'!$C$4,Inference!$I$43:$I$46,0),1)+Embeddings!C15</f>
        <v>0.231401984</v>
      </c>
      <c r="D19" s="9" t="n">
        <f aca="false">INDEX(Inference!$J$43:$L$46,MATCH('Cost Savings'!$C$4,Inference!$I$43:$I$46,0),2)+Embeddings!D15</f>
        <v>0.415635245333333</v>
      </c>
      <c r="E19" s="9" t="n">
        <f aca="false">INDEX(Inference!$J$43:$L$46,MATCH('Cost Savings'!$C$4,Inference!$I$43:$I$46,0),3)+Embeddings!E15</f>
        <v>0.732076078666667</v>
      </c>
      <c r="F19" s="7" t="s">
        <v>25</v>
      </c>
    </row>
    <row r="20" customFormat="false" ht="15" hidden="false" customHeight="false" outlineLevel="0" collapsed="false">
      <c r="A20" s="1"/>
      <c r="B20" s="10" t="s">
        <v>26</v>
      </c>
      <c r="C20" s="13" t="n">
        <f aca="false">'Cost Savings'!C32</f>
        <v>10</v>
      </c>
      <c r="D20" s="13" t="n">
        <f aca="false">'Cost Savings'!D32</f>
        <v>15</v>
      </c>
      <c r="E20" s="13" t="n">
        <f aca="false">'Cost Savings'!E32</f>
        <v>34</v>
      </c>
      <c r="F20" s="12" t="s">
        <v>27</v>
      </c>
    </row>
    <row r="21" customFormat="false" ht="15" hidden="false" customHeight="false" outlineLevel="0" collapsed="false">
      <c r="A21" s="1"/>
      <c r="B21" s="5" t="s">
        <v>28</v>
      </c>
      <c r="C21" s="14" t="n">
        <f aca="false">'Cost Savings'!C17</f>
        <v>1266.66666666667</v>
      </c>
      <c r="D21" s="14" t="n">
        <f aca="false">'Cost Savings'!D17</f>
        <v>1616.66666666667</v>
      </c>
      <c r="E21" s="14" t="n">
        <f aca="false">'Cost Savings'!E17</f>
        <v>3433.33333333333</v>
      </c>
      <c r="F21" s="7" t="s">
        <v>29</v>
      </c>
    </row>
    <row r="22" customFormat="false" ht="15" hidden="false" customHeight="false" outlineLevel="0" collapsed="false">
      <c r="A22" s="1"/>
      <c r="B22" s="5" t="s">
        <v>30</v>
      </c>
      <c r="C22" s="14" t="n">
        <f aca="false">'Cost Savings'!C29</f>
        <v>819.204971554667</v>
      </c>
      <c r="D22" s="14" t="n">
        <f aca="false">'Cost Savings'!D29</f>
        <v>920.500568266667</v>
      </c>
      <c r="E22" s="14" t="n">
        <f aca="false">'Cost Savings'!E29</f>
        <v>1378.15743746667</v>
      </c>
      <c r="F22" s="7"/>
    </row>
    <row r="23" customFormat="false" ht="15" hidden="false" customHeight="false" outlineLevel="0" collapsed="false">
      <c r="A23" s="1"/>
      <c r="B23" s="10" t="s">
        <v>31</v>
      </c>
      <c r="C23" s="15" t="n">
        <f aca="false">'Cost Savings'!C33</f>
        <v>447.461695112</v>
      </c>
      <c r="D23" s="15" t="n">
        <f aca="false">'Cost Savings'!D33</f>
        <v>696.1660984</v>
      </c>
      <c r="E23" s="15" t="n">
        <f aca="false">'Cost Savings'!E33</f>
        <v>2055.17589586667</v>
      </c>
      <c r="F23" s="12"/>
    </row>
    <row r="24" customFormat="false" ht="15" hidden="false" customHeight="false" outlineLevel="0" collapsed="false">
      <c r="A24" s="1"/>
      <c r="B24" s="10" t="s">
        <v>32</v>
      </c>
      <c r="C24" s="16" t="n">
        <f aca="false">'Cost Savings'!C34</f>
        <v>0.353259232983158</v>
      </c>
      <c r="D24" s="16" t="n">
        <f aca="false">'Cost Savings'!D34</f>
        <v>0.430618205195876</v>
      </c>
      <c r="E24" s="16" t="n">
        <f aca="false">'Cost Savings'!E34</f>
        <v>0.598594921126214</v>
      </c>
      <c r="F24" s="12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</row>
    <row r="26" customFormat="false" ht="15" hidden="false" customHeight="false" outlineLevel="0" collapsed="false">
      <c r="A26" s="1"/>
      <c r="B26" s="17" t="s">
        <v>33</v>
      </c>
      <c r="C26" s="1"/>
      <c r="D26" s="1"/>
      <c r="E26" s="1"/>
      <c r="F26" s="1"/>
    </row>
    <row r="27" customFormat="false" ht="27.75" hidden="false" customHeight="true" outlineLevel="0" collapsed="false">
      <c r="A27" s="1"/>
      <c r="B27" s="18" t="s">
        <v>34</v>
      </c>
      <c r="C27" s="18"/>
      <c r="D27" s="18"/>
      <c r="E27" s="18"/>
      <c r="F27" s="18"/>
    </row>
    <row r="28" customFormat="false" ht="27.75" hidden="false" customHeight="true" outlineLevel="0" collapsed="false">
      <c r="A28" s="1"/>
      <c r="B28" s="18" t="s">
        <v>35</v>
      </c>
      <c r="C28" s="18"/>
      <c r="D28" s="18"/>
      <c r="E28" s="18"/>
      <c r="F28" s="18"/>
    </row>
    <row r="29" customFormat="false" ht="27.75" hidden="false" customHeight="true" outlineLevel="0" collapsed="false">
      <c r="A29" s="1"/>
      <c r="B29" s="18" t="s">
        <v>36</v>
      </c>
      <c r="C29" s="18"/>
      <c r="D29" s="18"/>
      <c r="E29" s="18"/>
      <c r="F29" s="18"/>
    </row>
    <row r="30" customFormat="false" ht="27.75" hidden="false" customHeight="true" outlineLevel="0" collapsed="false">
      <c r="A30" s="1"/>
      <c r="B30" s="18" t="s">
        <v>37</v>
      </c>
      <c r="C30" s="18"/>
      <c r="D30" s="18"/>
      <c r="E30" s="18"/>
      <c r="F30" s="18"/>
    </row>
    <row r="31" customFormat="false" ht="27.75" hidden="false" customHeight="true" outlineLevel="0" collapsed="false">
      <c r="A31" s="1"/>
      <c r="B31" s="18" t="s">
        <v>38</v>
      </c>
      <c r="C31" s="18"/>
      <c r="D31" s="18"/>
      <c r="E31" s="18"/>
      <c r="F31" s="18"/>
    </row>
    <row r="32" customFormat="false" ht="27.75" hidden="false" customHeight="true" outlineLevel="0" collapsed="false">
      <c r="A32" s="1"/>
      <c r="B32" s="18" t="s">
        <v>39</v>
      </c>
      <c r="C32" s="18"/>
      <c r="D32" s="18"/>
      <c r="E32" s="18"/>
      <c r="F32" s="18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</row>
    <row r="34" customFormat="false" ht="15" hidden="false" customHeight="false" outlineLevel="0" collapsed="false">
      <c r="A34" s="1"/>
      <c r="B34" s="17" t="s">
        <v>40</v>
      </c>
      <c r="C34" s="1"/>
      <c r="D34" s="1"/>
      <c r="E34" s="1"/>
      <c r="F34" s="1"/>
    </row>
    <row r="35" customFormat="false" ht="15" hidden="false" customHeight="false" outlineLevel="0" collapsed="false">
      <c r="A35" s="1"/>
      <c r="B35" s="19" t="s">
        <v>41</v>
      </c>
      <c r="C35" s="1"/>
      <c r="D35" s="1"/>
      <c r="E35" s="1"/>
      <c r="F35" s="1"/>
    </row>
    <row r="36" customFormat="false" ht="15" hidden="false" customHeight="false" outlineLevel="0" collapsed="false">
      <c r="A36" s="1"/>
      <c r="B36" s="20" t="s">
        <v>42</v>
      </c>
      <c r="C36" s="1"/>
      <c r="D36" s="1"/>
      <c r="E36" s="1"/>
      <c r="F36" s="1"/>
    </row>
    <row r="37" customFormat="false" ht="15" hidden="false" customHeight="false" outlineLevel="0" collapsed="false">
      <c r="A37" s="1"/>
      <c r="B37" s="21" t="s">
        <v>43</v>
      </c>
      <c r="C37" s="1"/>
      <c r="D37" s="1"/>
      <c r="E37" s="1"/>
      <c r="F37" s="1"/>
    </row>
    <row r="38" customFormat="false" ht="15" hidden="false" customHeight="false" outlineLevel="0" collapsed="false">
      <c r="A38" s="1"/>
      <c r="B38" s="3" t="s">
        <v>44</v>
      </c>
      <c r="C38" s="1"/>
      <c r="D38" s="1"/>
      <c r="E38" s="1"/>
      <c r="F38" s="1"/>
    </row>
  </sheetData>
  <mergeCells count="6">
    <mergeCell ref="B27:F27"/>
    <mergeCell ref="B28:F28"/>
    <mergeCell ref="B29:F29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2"/>
    <col collapsed="false" customWidth="true" hidden="false" outlineLevel="0" max="6" min="6" style="0" width="46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9" min="9" style="0" width="22"/>
    <col collapsed="false" customWidth="true" hidden="false" outlineLevel="0" max="12" min="10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7.35" hidden="false" customHeight="false" outlineLevel="0" collapsed="false">
      <c r="A2" s="1"/>
      <c r="B2" s="22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7.5" hidden="false" customHeight="true" outlineLevel="0" collapsed="false">
      <c r="A3" s="1"/>
      <c r="B3" s="23" t="s">
        <v>46</v>
      </c>
      <c r="C3" s="23"/>
      <c r="D3" s="23"/>
      <c r="E3" s="23"/>
      <c r="F3" s="23"/>
      <c r="G3" s="23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7" t="s">
        <v>47</v>
      </c>
      <c r="J4" s="1"/>
      <c r="K4" s="1"/>
      <c r="L4" s="1"/>
    </row>
    <row r="5" customFormat="false" ht="23.85" hidden="false" customHeight="false" outlineLevel="0" collapsed="false">
      <c r="A5" s="1"/>
      <c r="B5" s="4" t="s">
        <v>48</v>
      </c>
      <c r="C5" s="4" t="s">
        <v>3</v>
      </c>
      <c r="D5" s="4" t="s">
        <v>4</v>
      </c>
      <c r="E5" s="4" t="s">
        <v>5</v>
      </c>
      <c r="F5" s="4" t="s">
        <v>49</v>
      </c>
      <c r="G5" s="4" t="s">
        <v>50</v>
      </c>
      <c r="H5" s="1"/>
      <c r="I5" s="4" t="s">
        <v>51</v>
      </c>
      <c r="J5" s="4" t="s">
        <v>52</v>
      </c>
      <c r="K5" s="4" t="s">
        <v>53</v>
      </c>
      <c r="L5" s="1"/>
    </row>
    <row r="6" customFormat="false" ht="15" hidden="false" customHeight="false" outlineLevel="0" collapsed="false">
      <c r="A6" s="1"/>
      <c r="B6" s="24" t="s">
        <v>54</v>
      </c>
      <c r="C6" s="25"/>
      <c r="D6" s="25"/>
      <c r="E6" s="25"/>
      <c r="F6" s="25"/>
      <c r="G6" s="25"/>
      <c r="H6" s="1"/>
      <c r="I6" s="26" t="s">
        <v>55</v>
      </c>
      <c r="J6" s="27" t="n">
        <v>10</v>
      </c>
      <c r="K6" s="27" t="n">
        <v>50</v>
      </c>
      <c r="L6" s="1"/>
    </row>
    <row r="7" customFormat="false" ht="15" hidden="false" customHeight="false" outlineLevel="0" collapsed="false">
      <c r="A7" s="1"/>
      <c r="B7" s="28" t="s">
        <v>56</v>
      </c>
      <c r="C7" s="29" t="n">
        <v>1.3</v>
      </c>
      <c r="D7" s="29" t="n">
        <v>1.3</v>
      </c>
      <c r="E7" s="29" t="n">
        <v>1.3</v>
      </c>
      <c r="F7" s="30" t="s">
        <v>57</v>
      </c>
      <c r="G7" s="31" t="s">
        <v>58</v>
      </c>
      <c r="H7" s="1"/>
      <c r="I7" s="26" t="s">
        <v>59</v>
      </c>
      <c r="J7" s="27" t="n">
        <v>4</v>
      </c>
      <c r="K7" s="27" t="n">
        <v>20</v>
      </c>
      <c r="L7" s="1"/>
    </row>
    <row r="8" customFormat="false" ht="22.35" hidden="false" customHeight="false" outlineLevel="0" collapsed="false">
      <c r="A8" s="1"/>
      <c r="B8" s="28" t="s">
        <v>60</v>
      </c>
      <c r="C8" s="32" t="n">
        <v>3</v>
      </c>
      <c r="D8" s="32" t="n">
        <v>4</v>
      </c>
      <c r="E8" s="32" t="n">
        <v>8</v>
      </c>
      <c r="F8" s="30" t="s">
        <v>61</v>
      </c>
      <c r="G8" s="31" t="s">
        <v>62</v>
      </c>
      <c r="H8" s="1"/>
      <c r="I8" s="26" t="s">
        <v>63</v>
      </c>
      <c r="J8" s="27" t="n">
        <v>2</v>
      </c>
      <c r="K8" s="27" t="n">
        <v>10</v>
      </c>
      <c r="L8" s="1"/>
    </row>
    <row r="9" customFormat="false" ht="22.35" hidden="false" customHeight="false" outlineLevel="0" collapsed="false">
      <c r="A9" s="1"/>
      <c r="B9" s="28" t="s">
        <v>64</v>
      </c>
      <c r="C9" s="32" t="n">
        <v>4</v>
      </c>
      <c r="D9" s="32" t="n">
        <v>5</v>
      </c>
      <c r="E9" s="32" t="n">
        <v>10</v>
      </c>
      <c r="F9" s="30" t="s">
        <v>65</v>
      </c>
      <c r="G9" s="31" t="s">
        <v>62</v>
      </c>
      <c r="H9" s="1"/>
      <c r="I9" s="26" t="s">
        <v>66</v>
      </c>
      <c r="J9" s="27" t="n">
        <v>0.1</v>
      </c>
      <c r="K9" s="27" t="n">
        <v>0.5</v>
      </c>
      <c r="L9" s="1"/>
    </row>
    <row r="10" customFormat="false" ht="23.85" hidden="false" customHeight="false" outlineLevel="0" collapsed="false">
      <c r="A10" s="1"/>
      <c r="B10" s="28" t="s">
        <v>67</v>
      </c>
      <c r="C10" s="32" t="n">
        <v>1</v>
      </c>
      <c r="D10" s="32" t="n">
        <v>2</v>
      </c>
      <c r="E10" s="32" t="n">
        <v>3</v>
      </c>
      <c r="F10" s="30" t="s">
        <v>68</v>
      </c>
      <c r="G10" s="31" t="s">
        <v>69</v>
      </c>
      <c r="H10" s="1"/>
      <c r="I10" s="3" t="s">
        <v>70</v>
      </c>
      <c r="J10" s="1"/>
      <c r="K10" s="1"/>
      <c r="L10" s="1"/>
    </row>
    <row r="11" customFormat="false" ht="22.35" hidden="false" customHeight="false" outlineLevel="0" collapsed="false">
      <c r="A11" s="1"/>
      <c r="B11" s="28" t="s">
        <v>71</v>
      </c>
      <c r="C11" s="32" t="n">
        <v>1</v>
      </c>
      <c r="D11" s="32" t="n">
        <v>1</v>
      </c>
      <c r="E11" s="32" t="n">
        <v>2</v>
      </c>
      <c r="F11" s="30" t="s">
        <v>72</v>
      </c>
      <c r="G11" s="31" t="s">
        <v>69</v>
      </c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33" t="s">
        <v>73</v>
      </c>
      <c r="C12" s="34" t="n">
        <f aca="false">C8*C10</f>
        <v>3</v>
      </c>
      <c r="D12" s="34" t="n">
        <f aca="false">D8*D10</f>
        <v>8</v>
      </c>
      <c r="E12" s="34" t="n">
        <f aca="false">E8*E10</f>
        <v>24</v>
      </c>
      <c r="F12" s="30" t="s">
        <v>74</v>
      </c>
      <c r="G12" s="31"/>
      <c r="H12" s="1"/>
      <c r="I12" s="17" t="s">
        <v>75</v>
      </c>
      <c r="J12" s="1"/>
      <c r="K12" s="1"/>
      <c r="L12" s="1"/>
    </row>
    <row r="13" customFormat="false" ht="15" hidden="false" customHeight="false" outlineLevel="0" collapsed="false">
      <c r="A13" s="1"/>
      <c r="B13" s="33" t="s">
        <v>76</v>
      </c>
      <c r="C13" s="34" t="n">
        <f aca="false">C9*C11</f>
        <v>4</v>
      </c>
      <c r="D13" s="34" t="n">
        <f aca="false">D9*D11</f>
        <v>5</v>
      </c>
      <c r="E13" s="34" t="n">
        <f aca="false">E9*E11</f>
        <v>20</v>
      </c>
      <c r="F13" s="30" t="s">
        <v>77</v>
      </c>
      <c r="G13" s="31"/>
      <c r="H13" s="1"/>
      <c r="I13" s="4" t="s">
        <v>51</v>
      </c>
      <c r="J13" s="4" t="s">
        <v>3</v>
      </c>
      <c r="K13" s="4" t="s">
        <v>4</v>
      </c>
      <c r="L13" s="4" t="s">
        <v>5</v>
      </c>
    </row>
    <row r="14" customFormat="false" ht="23.85" hidden="false" customHeight="false" outlineLevel="0" collapsed="false">
      <c r="A14" s="1"/>
      <c r="B14" s="33" t="s">
        <v>78</v>
      </c>
      <c r="C14" s="34" t="n">
        <f aca="false">C8+C9</f>
        <v>7</v>
      </c>
      <c r="D14" s="34" t="n">
        <f aca="false">D8+D9</f>
        <v>9</v>
      </c>
      <c r="E14" s="34" t="n">
        <f aca="false">E8+E9</f>
        <v>18</v>
      </c>
      <c r="F14" s="30" t="s">
        <v>79</v>
      </c>
      <c r="G14" s="31"/>
      <c r="H14" s="1"/>
      <c r="I14" s="5" t="str">
        <f aca="false">$I$6</f>
        <v>Claude Fable 5.1</v>
      </c>
      <c r="J14" s="35" t="n">
        <f aca="false">$J$6*C$36/1000000+$K$6*C$42/1000000</f>
        <v>0.383705</v>
      </c>
      <c r="K14" s="35" t="n">
        <f aca="false">$J$6*D$36/1000000+$K$6*D$42/1000000</f>
        <v>0.817841</v>
      </c>
      <c r="L14" s="35" t="n">
        <f aca="false">$J$6*E$36/1000000+$K$6*E$42/1000000</f>
        <v>1.447841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5" t="str">
        <f aca="false">$I$7</f>
        <v>Claude Opus 5.5</v>
      </c>
      <c r="J15" s="35" t="n">
        <f aca="false">$J$7*C$36/1000000+$K$7*C$42/1000000</f>
        <v>0.153482</v>
      </c>
      <c r="K15" s="35" t="n">
        <f aca="false">$J$7*D$36/1000000+$K$7*D$42/1000000</f>
        <v>0.3271364</v>
      </c>
      <c r="L15" s="35" t="n">
        <f aca="false">$J$7*E$36/1000000+$K$7*E$42/1000000</f>
        <v>0.5791364</v>
      </c>
    </row>
    <row r="16" customFormat="false" ht="15" hidden="false" customHeight="false" outlineLevel="0" collapsed="false">
      <c r="A16" s="1"/>
      <c r="B16" s="24" t="s">
        <v>80</v>
      </c>
      <c r="C16" s="25"/>
      <c r="D16" s="25"/>
      <c r="E16" s="25"/>
      <c r="F16" s="25"/>
      <c r="G16" s="25"/>
      <c r="H16" s="1"/>
      <c r="I16" s="5" t="str">
        <f aca="false">$I$8</f>
        <v>Claude Sonnet 5.5</v>
      </c>
      <c r="J16" s="35" t="n">
        <f aca="false">$J$8*C$36/1000000+$K$8*C$42/1000000</f>
        <v>0.076741</v>
      </c>
      <c r="K16" s="35" t="n">
        <f aca="false">$J$8*D$36/1000000+$K$8*D$42/1000000</f>
        <v>0.1635682</v>
      </c>
      <c r="L16" s="35" t="n">
        <f aca="false">$J$8*E$36/1000000+$K$8*E$42/1000000</f>
        <v>0.2895682</v>
      </c>
    </row>
    <row r="17" customFormat="false" ht="32.8" hidden="false" customHeight="false" outlineLevel="0" collapsed="false">
      <c r="A17" s="1"/>
      <c r="B17" s="28" t="s">
        <v>81</v>
      </c>
      <c r="C17" s="32" t="n">
        <v>2132</v>
      </c>
      <c r="D17" s="32" t="n">
        <v>10000</v>
      </c>
      <c r="E17" s="32" t="n">
        <v>20000</v>
      </c>
      <c r="F17" s="30" t="s">
        <v>82</v>
      </c>
      <c r="G17" s="31" t="s">
        <v>83</v>
      </c>
      <c r="H17" s="1"/>
      <c r="I17" s="5" t="str">
        <f aca="false">$I$9</f>
        <v>Claude Haiku 5.5</v>
      </c>
      <c r="J17" s="35" t="n">
        <f aca="false">$J$9*C$36/1000000+$K$9*C$42/1000000</f>
        <v>0.00383705</v>
      </c>
      <c r="K17" s="35" t="n">
        <f aca="false">$J$9*D$36/1000000+$K$9*D$42/1000000</f>
        <v>0.00817841</v>
      </c>
      <c r="L17" s="35" t="n">
        <f aca="false">$J$9*E$36/1000000+$K$9*E$42/1000000</f>
        <v>0.01447841</v>
      </c>
    </row>
    <row r="18" customFormat="false" ht="15" hidden="false" customHeight="false" outlineLevel="0" collapsed="false">
      <c r="A18" s="1"/>
      <c r="B18" s="28" t="s">
        <v>84</v>
      </c>
      <c r="C18" s="36" t="n">
        <f aca="false">C17*C7</f>
        <v>2771.6</v>
      </c>
      <c r="D18" s="36" t="n">
        <f aca="false">D17*D7</f>
        <v>13000</v>
      </c>
      <c r="E18" s="36" t="n">
        <f aca="false">E17*E7</f>
        <v>26000</v>
      </c>
      <c r="F18" s="30" t="s">
        <v>85</v>
      </c>
      <c r="G18" s="31"/>
      <c r="H18" s="1"/>
      <c r="I18" s="1"/>
      <c r="J18" s="1"/>
      <c r="K18" s="1"/>
      <c r="L18" s="1"/>
    </row>
    <row r="19" customFormat="false" ht="43.25" hidden="false" customHeight="false" outlineLevel="0" collapsed="false">
      <c r="A19" s="1"/>
      <c r="B19" s="28" t="s">
        <v>86</v>
      </c>
      <c r="C19" s="37" t="n">
        <v>4</v>
      </c>
      <c r="D19" s="37" t="n">
        <v>4</v>
      </c>
      <c r="E19" s="37" t="n">
        <v>4</v>
      </c>
      <c r="F19" s="30" t="s">
        <v>87</v>
      </c>
      <c r="G19" s="31" t="s">
        <v>69</v>
      </c>
      <c r="H19" s="1"/>
      <c r="I19" s="17" t="s">
        <v>88</v>
      </c>
      <c r="J19" s="1"/>
      <c r="K19" s="1"/>
      <c r="L19" s="1"/>
    </row>
    <row r="20" customFormat="false" ht="32.8" hidden="false" customHeight="false" outlineLevel="0" collapsed="false">
      <c r="A20" s="1"/>
      <c r="B20" s="28" t="s">
        <v>89</v>
      </c>
      <c r="C20" s="32" t="n">
        <v>800</v>
      </c>
      <c r="D20" s="32" t="n">
        <v>800</v>
      </c>
      <c r="E20" s="32" t="n">
        <v>800</v>
      </c>
      <c r="F20" s="30" t="s">
        <v>90</v>
      </c>
      <c r="G20" s="31" t="s">
        <v>69</v>
      </c>
      <c r="H20" s="1"/>
      <c r="I20" s="4" t="s">
        <v>51</v>
      </c>
      <c r="J20" s="4" t="s">
        <v>3</v>
      </c>
      <c r="K20" s="4" t="s">
        <v>4</v>
      </c>
      <c r="L20" s="4" t="s">
        <v>5</v>
      </c>
    </row>
    <row r="21" customFormat="false" ht="15" hidden="false" customHeight="false" outlineLevel="0" collapsed="false">
      <c r="A21" s="1"/>
      <c r="B21" s="28" t="s">
        <v>91</v>
      </c>
      <c r="C21" s="32" t="n">
        <v>100</v>
      </c>
      <c r="D21" s="32" t="n">
        <v>100</v>
      </c>
      <c r="E21" s="32" t="n">
        <v>100</v>
      </c>
      <c r="F21" s="30" t="s">
        <v>92</v>
      </c>
      <c r="G21" s="31" t="s">
        <v>69</v>
      </c>
      <c r="H21" s="1"/>
      <c r="I21" s="5" t="str">
        <f aca="false">$I$6</f>
        <v>Claude Fable 5.1</v>
      </c>
      <c r="J21" s="35" t="n">
        <f aca="false">$J$6*C$52/1000000+$K$6*C$53/1000000</f>
        <v>0.261981</v>
      </c>
      <c r="K21" s="35" t="n">
        <f aca="false">$J$6*D$52/1000000+$K$6*D$53/1000000</f>
        <v>0.290841</v>
      </c>
      <c r="L21" s="35" t="n">
        <f aca="false">$J$6*E$52/1000000+$K$6*E$53/1000000</f>
        <v>0.418841</v>
      </c>
    </row>
    <row r="22" customFormat="false" ht="23.85" hidden="false" customHeight="false" outlineLevel="0" collapsed="false">
      <c r="A22" s="1"/>
      <c r="B22" s="28" t="s">
        <v>93</v>
      </c>
      <c r="C22" s="32" t="n">
        <v>1469</v>
      </c>
      <c r="D22" s="32" t="n">
        <v>1469</v>
      </c>
      <c r="E22" s="32" t="n">
        <v>1469</v>
      </c>
      <c r="F22" s="30" t="s">
        <v>94</v>
      </c>
      <c r="G22" s="31" t="s">
        <v>95</v>
      </c>
      <c r="H22" s="1"/>
      <c r="I22" s="5" t="str">
        <f aca="false">$I$7</f>
        <v>Claude Opus 5.5</v>
      </c>
      <c r="J22" s="35" t="n">
        <f aca="false">$J$7*C$52/1000000+$K$7*C$53/1000000</f>
        <v>0.1047924</v>
      </c>
      <c r="K22" s="35" t="n">
        <f aca="false">$J$7*D$52/1000000+$K$7*D$53/1000000</f>
        <v>0.1163364</v>
      </c>
      <c r="L22" s="35" t="n">
        <f aca="false">$J$7*E$52/1000000+$K$7*E$53/1000000</f>
        <v>0.1675364</v>
      </c>
    </row>
    <row r="23" customFormat="false" ht="22.35" hidden="false" customHeight="false" outlineLevel="0" collapsed="false">
      <c r="A23" s="1"/>
      <c r="B23" s="28" t="s">
        <v>96</v>
      </c>
      <c r="C23" s="32" t="n">
        <v>300</v>
      </c>
      <c r="D23" s="32" t="n">
        <v>300</v>
      </c>
      <c r="E23" s="32" t="n">
        <v>300</v>
      </c>
      <c r="F23" s="30" t="s">
        <v>97</v>
      </c>
      <c r="G23" s="31" t="s">
        <v>69</v>
      </c>
      <c r="H23" s="1"/>
      <c r="I23" s="5" t="str">
        <f aca="false">$I$8</f>
        <v>Claude Sonnet 5.5</v>
      </c>
      <c r="J23" s="35" t="n">
        <f aca="false">$J$8*C$52/1000000+$K$8*C$53/1000000</f>
        <v>0.0523962</v>
      </c>
      <c r="K23" s="35" t="n">
        <f aca="false">$J$8*D$52/1000000+$K$8*D$53/1000000</f>
        <v>0.0581682</v>
      </c>
      <c r="L23" s="35" t="n">
        <f aca="false">$J$8*E$52/1000000+$K$8*E$53/1000000</f>
        <v>0.0837682</v>
      </c>
    </row>
    <row r="24" customFormat="false" ht="15" hidden="false" customHeight="false" outlineLevel="0" collapsed="false">
      <c r="A24" s="1"/>
      <c r="B24" s="28" t="s">
        <v>98</v>
      </c>
      <c r="C24" s="37" t="n">
        <v>3</v>
      </c>
      <c r="D24" s="37" t="n">
        <v>3</v>
      </c>
      <c r="E24" s="37" t="n">
        <v>3</v>
      </c>
      <c r="F24" s="30" t="s">
        <v>99</v>
      </c>
      <c r="G24" s="31" t="s">
        <v>58</v>
      </c>
      <c r="H24" s="1"/>
      <c r="I24" s="5" t="str">
        <f aca="false">$I$9</f>
        <v>Claude Haiku 5.5</v>
      </c>
      <c r="J24" s="35" t="n">
        <f aca="false">$J$9*C$52/1000000+$K$9*C$53/1000000</f>
        <v>0.00261981</v>
      </c>
      <c r="K24" s="35" t="n">
        <f aca="false">$J$9*D$52/1000000+$K$9*D$53/1000000</f>
        <v>0.00290841</v>
      </c>
      <c r="L24" s="35" t="n">
        <f aca="false">$J$9*E$52/1000000+$K$9*E$53/1000000</f>
        <v>0.00418841</v>
      </c>
    </row>
    <row r="25" customFormat="false" ht="15" hidden="false" customHeight="false" outlineLevel="0" collapsed="false">
      <c r="A25" s="1"/>
      <c r="B25" s="28" t="s">
        <v>100</v>
      </c>
      <c r="C25" s="32" t="n">
        <v>150</v>
      </c>
      <c r="D25" s="32" t="n">
        <v>150</v>
      </c>
      <c r="E25" s="32" t="n">
        <v>150</v>
      </c>
      <c r="F25" s="30" t="s">
        <v>101</v>
      </c>
      <c r="G25" s="31" t="s">
        <v>69</v>
      </c>
      <c r="H25" s="1"/>
      <c r="I25" s="1"/>
      <c r="J25" s="1"/>
      <c r="K25" s="1"/>
      <c r="L25" s="1"/>
    </row>
    <row r="26" customFormat="false" ht="22.35" hidden="false" customHeight="false" outlineLevel="0" collapsed="false">
      <c r="A26" s="1"/>
      <c r="B26" s="28" t="s">
        <v>102</v>
      </c>
      <c r="C26" s="37" t="n">
        <v>10</v>
      </c>
      <c r="D26" s="37" t="n">
        <v>10</v>
      </c>
      <c r="E26" s="37" t="n">
        <v>10</v>
      </c>
      <c r="F26" s="30" t="s">
        <v>103</v>
      </c>
      <c r="G26" s="31" t="s">
        <v>69</v>
      </c>
      <c r="H26" s="1"/>
      <c r="I26" s="17" t="s">
        <v>104</v>
      </c>
      <c r="J26" s="1"/>
      <c r="K26" s="1"/>
      <c r="L26" s="1"/>
    </row>
    <row r="27" customFormat="false" ht="22.35" hidden="false" customHeight="false" outlineLevel="0" collapsed="false">
      <c r="A27" s="1"/>
      <c r="B27" s="28" t="s">
        <v>105</v>
      </c>
      <c r="C27" s="32" t="n">
        <v>600</v>
      </c>
      <c r="D27" s="32" t="n">
        <v>600</v>
      </c>
      <c r="E27" s="32" t="n">
        <v>600</v>
      </c>
      <c r="F27" s="30" t="s">
        <v>106</v>
      </c>
      <c r="G27" s="31" t="s">
        <v>58</v>
      </c>
      <c r="H27" s="1"/>
      <c r="I27" s="4" t="s">
        <v>51</v>
      </c>
      <c r="J27" s="4" t="s">
        <v>3</v>
      </c>
      <c r="K27" s="4" t="s">
        <v>4</v>
      </c>
      <c r="L27" s="4" t="s">
        <v>5</v>
      </c>
    </row>
    <row r="28" customFormat="false" ht="22.35" hidden="false" customHeight="false" outlineLevel="0" collapsed="false">
      <c r="A28" s="1"/>
      <c r="B28" s="28" t="s">
        <v>107</v>
      </c>
      <c r="C28" s="37" t="n">
        <v>5</v>
      </c>
      <c r="D28" s="37" t="n">
        <v>5</v>
      </c>
      <c r="E28" s="37" t="n">
        <v>5</v>
      </c>
      <c r="F28" s="30" t="s">
        <v>108</v>
      </c>
      <c r="G28" s="31" t="s">
        <v>69</v>
      </c>
      <c r="H28" s="1"/>
      <c r="I28" s="5" t="str">
        <f aca="false">$I$6</f>
        <v>Claude Fable 5.1</v>
      </c>
      <c r="J28" s="35" t="n">
        <f aca="false">$J$6*C$59/1000000+$K$6*C$60/1000000</f>
        <v>0.0678982857142857</v>
      </c>
      <c r="K28" s="35" t="n">
        <f aca="false">$J$6*D$59/1000000+$K$6*D$60/1000000</f>
        <v>0.117611111111111</v>
      </c>
      <c r="L28" s="35" t="n">
        <f aca="false">$J$6*E$59/1000000+$K$6*E$60/1000000</f>
        <v>0.206222222222222</v>
      </c>
    </row>
    <row r="29" customFormat="false" ht="15" hidden="false" customHeight="false" outlineLevel="0" collapsed="false">
      <c r="A29" s="1"/>
      <c r="B29" s="28" t="s">
        <v>109</v>
      </c>
      <c r="C29" s="32" t="n">
        <v>288</v>
      </c>
      <c r="D29" s="32" t="n">
        <v>288</v>
      </c>
      <c r="E29" s="32" t="n">
        <v>288</v>
      </c>
      <c r="F29" s="30" t="s">
        <v>110</v>
      </c>
      <c r="G29" s="31" t="s">
        <v>95</v>
      </c>
      <c r="H29" s="1"/>
      <c r="I29" s="5" t="str">
        <f aca="false">$I$7</f>
        <v>Claude Opus 5.5</v>
      </c>
      <c r="J29" s="35" t="n">
        <f aca="false">$J$7*C$59/1000000+$K$7*C$60/1000000</f>
        <v>0.0271593142857143</v>
      </c>
      <c r="K29" s="35" t="n">
        <f aca="false">$J$7*D$59/1000000+$K$7*D$60/1000000</f>
        <v>0.0470444444444444</v>
      </c>
      <c r="L29" s="35" t="n">
        <f aca="false">$J$7*E$59/1000000+$K$7*E$60/1000000</f>
        <v>0.0824888888888889</v>
      </c>
    </row>
    <row r="30" customFormat="false" ht="22.35" hidden="false" customHeight="false" outlineLevel="0" collapsed="false">
      <c r="A30" s="1"/>
      <c r="B30" s="28" t="s">
        <v>111</v>
      </c>
      <c r="C30" s="32" t="n">
        <v>1000</v>
      </c>
      <c r="D30" s="32" t="n">
        <v>1000</v>
      </c>
      <c r="E30" s="32" t="n">
        <v>1000</v>
      </c>
      <c r="F30" s="30" t="s">
        <v>112</v>
      </c>
      <c r="G30" s="31" t="s">
        <v>69</v>
      </c>
      <c r="H30" s="1"/>
      <c r="I30" s="5" t="str">
        <f aca="false">$I$8</f>
        <v>Claude Sonnet 5.5</v>
      </c>
      <c r="J30" s="35" t="n">
        <f aca="false">$J$8*C$59/1000000+$K$8*C$60/1000000</f>
        <v>0.0135796571428571</v>
      </c>
      <c r="K30" s="35" t="n">
        <f aca="false">$J$8*D$59/1000000+$K$8*D$60/1000000</f>
        <v>0.0235222222222222</v>
      </c>
      <c r="L30" s="35" t="n">
        <f aca="false">$J$8*E$59/1000000+$K$8*E$60/1000000</f>
        <v>0.0412444444444444</v>
      </c>
    </row>
    <row r="31" customFormat="false" ht="15" hidden="false" customHeight="false" outlineLevel="0" collapsed="false">
      <c r="A31" s="1"/>
      <c r="B31" s="28" t="s">
        <v>113</v>
      </c>
      <c r="C31" s="36" t="n">
        <f aca="false">C18*C19</f>
        <v>11086.4</v>
      </c>
      <c r="D31" s="36" t="n">
        <f aca="false">D18*D19</f>
        <v>52000</v>
      </c>
      <c r="E31" s="36" t="n">
        <f aca="false">E18*E19</f>
        <v>104000</v>
      </c>
      <c r="F31" s="30" t="s">
        <v>114</v>
      </c>
      <c r="G31" s="31"/>
      <c r="H31" s="1"/>
      <c r="I31" s="5" t="str">
        <f aca="false">$I$9</f>
        <v>Claude Haiku 5.5</v>
      </c>
      <c r="J31" s="35" t="n">
        <f aca="false">$J$9*C$59/1000000+$K$9*C$60/1000000</f>
        <v>0.000678982857142857</v>
      </c>
      <c r="K31" s="35" t="n">
        <f aca="false">$J$9*D$59/1000000+$K$9*D$60/1000000</f>
        <v>0.00117611111111111</v>
      </c>
      <c r="L31" s="35" t="n">
        <f aca="false">$J$9*E$59/1000000+$K$9*E$60/1000000</f>
        <v>0.00206222222222222</v>
      </c>
    </row>
    <row r="32" customFormat="false" ht="15" hidden="false" customHeight="false" outlineLevel="0" collapsed="false">
      <c r="A32" s="1"/>
      <c r="B32" s="28" t="s">
        <v>115</v>
      </c>
      <c r="C32" s="36" t="n">
        <f aca="false">(C20+C21)*C19</f>
        <v>3600</v>
      </c>
      <c r="D32" s="36" t="n">
        <f aca="false">(D20+D21)*D19</f>
        <v>3600</v>
      </c>
      <c r="E32" s="36" t="n">
        <f aca="false">(E20+E21)*E19</f>
        <v>3600</v>
      </c>
      <c r="F32" s="30" t="s">
        <v>116</v>
      </c>
      <c r="G32" s="3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28" t="s">
        <v>117</v>
      </c>
      <c r="C33" s="36" t="n">
        <f aca="false">C22*C7+C23*C24</f>
        <v>2809.7</v>
      </c>
      <c r="D33" s="36" t="n">
        <f aca="false">D22*D7+D23*D24</f>
        <v>2809.7</v>
      </c>
      <c r="E33" s="36" t="n">
        <f aca="false">E22*E7+E23*E24</f>
        <v>2809.7</v>
      </c>
      <c r="F33" s="30" t="s">
        <v>118</v>
      </c>
      <c r="G33" s="31"/>
      <c r="H33" s="1"/>
      <c r="I33" s="17" t="s">
        <v>119</v>
      </c>
      <c r="J33" s="1"/>
      <c r="K33" s="1"/>
      <c r="L33" s="1"/>
    </row>
    <row r="34" customFormat="false" ht="15" hidden="false" customHeight="false" outlineLevel="0" collapsed="false">
      <c r="A34" s="1"/>
      <c r="B34" s="28" t="s">
        <v>120</v>
      </c>
      <c r="C34" s="36" t="n">
        <f aca="false">C25*C26+C27*C28</f>
        <v>4500</v>
      </c>
      <c r="D34" s="36" t="n">
        <f aca="false">D25*D26+D27*D28</f>
        <v>4500</v>
      </c>
      <c r="E34" s="36" t="n">
        <f aca="false">E25*E26+E27*E28</f>
        <v>4500</v>
      </c>
      <c r="F34" s="30" t="s">
        <v>121</v>
      </c>
      <c r="G34" s="31"/>
      <c r="H34" s="1"/>
      <c r="I34" s="4" t="s">
        <v>51</v>
      </c>
      <c r="J34" s="4" t="s">
        <v>3</v>
      </c>
      <c r="K34" s="4" t="s">
        <v>4</v>
      </c>
      <c r="L34" s="4" t="s">
        <v>5</v>
      </c>
    </row>
    <row r="35" customFormat="false" ht="15" hidden="false" customHeight="false" outlineLevel="0" collapsed="false">
      <c r="A35" s="1"/>
      <c r="B35" s="28" t="s">
        <v>122</v>
      </c>
      <c r="C35" s="36" t="n">
        <f aca="false">C29*C7+C30</f>
        <v>1374.4</v>
      </c>
      <c r="D35" s="36" t="n">
        <f aca="false">D29*D7+D30</f>
        <v>1374.4</v>
      </c>
      <c r="E35" s="36" t="n">
        <f aca="false">E29*E7+E30</f>
        <v>1374.4</v>
      </c>
      <c r="F35" s="30" t="s">
        <v>123</v>
      </c>
      <c r="G35" s="31"/>
      <c r="H35" s="1"/>
      <c r="I35" s="26" t="str">
        <f aca="false">$I$6</f>
        <v>Claude Fable 5.1</v>
      </c>
      <c r="J35" s="38" t="n">
        <f aca="false">J14*C$12+J21*C$13+J28*C$14</f>
        <v>2.674327</v>
      </c>
      <c r="K35" s="38" t="n">
        <f aca="false">K14*D$12+K21*D$13+K28*D$14</f>
        <v>9.055433</v>
      </c>
      <c r="L35" s="38" t="n">
        <f aca="false">L14*E$12+L21*E$13+L28*E$14</f>
        <v>46.837004</v>
      </c>
    </row>
    <row r="36" customFormat="false" ht="15" hidden="false" customHeight="false" outlineLevel="0" collapsed="false">
      <c r="A36" s="1"/>
      <c r="B36" s="33" t="s">
        <v>124</v>
      </c>
      <c r="C36" s="34" t="n">
        <f aca="false">C31+C32+C33+C34+C35</f>
        <v>23370.5</v>
      </c>
      <c r="D36" s="34" t="n">
        <f aca="false">D31+D32+D33+D34+D35</f>
        <v>64284.1</v>
      </c>
      <c r="E36" s="34" t="n">
        <f aca="false">E31+E32+E33+E34+E35</f>
        <v>116284.1</v>
      </c>
      <c r="F36" s="30" t="s">
        <v>125</v>
      </c>
      <c r="G36" s="31"/>
      <c r="H36" s="1"/>
      <c r="I36" s="26" t="str">
        <f aca="false">$I$7</f>
        <v>Claude Opus 5.5</v>
      </c>
      <c r="J36" s="38" t="n">
        <f aca="false">J15*C$12+J22*C$13+J29*C$14</f>
        <v>1.0697308</v>
      </c>
      <c r="K36" s="38" t="n">
        <f aca="false">K15*D$12+K22*D$13+K29*D$14</f>
        <v>3.6221732</v>
      </c>
      <c r="L36" s="38" t="n">
        <f aca="false">L15*E$12+L22*E$13+L29*E$14</f>
        <v>18.7348016</v>
      </c>
    </row>
    <row r="37" customFormat="false" ht="15" hidden="false" customHeight="false" outlineLevel="0" collapsed="false">
      <c r="A37" s="1"/>
      <c r="B37" s="24" t="s">
        <v>126</v>
      </c>
      <c r="C37" s="25"/>
      <c r="D37" s="25"/>
      <c r="E37" s="25"/>
      <c r="F37" s="25"/>
      <c r="G37" s="25"/>
      <c r="H37" s="1"/>
      <c r="I37" s="26" t="str">
        <f aca="false">$I$8</f>
        <v>Claude Sonnet 5.5</v>
      </c>
      <c r="J37" s="38" t="n">
        <f aca="false">J16*C$12+J23*C$13+J30*C$14</f>
        <v>0.5348654</v>
      </c>
      <c r="K37" s="38" t="n">
        <f aca="false">K16*D$12+K23*D$13+K30*D$14</f>
        <v>1.8110866</v>
      </c>
      <c r="L37" s="38" t="n">
        <f aca="false">L16*E$12+L23*E$13+L30*E$14</f>
        <v>9.3674008</v>
      </c>
    </row>
    <row r="38" customFormat="false" ht="22.35" hidden="false" customHeight="false" outlineLevel="0" collapsed="false">
      <c r="A38" s="1"/>
      <c r="B38" s="28" t="s">
        <v>127</v>
      </c>
      <c r="C38" s="32" t="n">
        <v>1000</v>
      </c>
      <c r="D38" s="32" t="n">
        <v>1500</v>
      </c>
      <c r="E38" s="32" t="n">
        <v>2500</v>
      </c>
      <c r="F38" s="30" t="s">
        <v>128</v>
      </c>
      <c r="G38" s="31" t="s">
        <v>69</v>
      </c>
      <c r="H38" s="1"/>
      <c r="I38" s="26" t="str">
        <f aca="false">$I$9</f>
        <v>Claude Haiku 5.5</v>
      </c>
      <c r="J38" s="38" t="n">
        <f aca="false">J17*C$12+J24*C$13+J31*C$14</f>
        <v>0.02674327</v>
      </c>
      <c r="K38" s="38" t="n">
        <f aca="false">K17*D$12+K24*D$13+K31*D$14</f>
        <v>0.09055433</v>
      </c>
      <c r="L38" s="38" t="n">
        <f aca="false">L17*E$12+L24*E$13+L31*E$14</f>
        <v>0.46837004</v>
      </c>
    </row>
    <row r="39" customFormat="false" ht="22.35" hidden="false" customHeight="false" outlineLevel="0" collapsed="false">
      <c r="A39" s="1"/>
      <c r="B39" s="28" t="s">
        <v>129</v>
      </c>
      <c r="C39" s="32" t="n">
        <v>800</v>
      </c>
      <c r="D39" s="32" t="n">
        <v>800</v>
      </c>
      <c r="E39" s="32" t="n">
        <v>1200</v>
      </c>
      <c r="F39" s="30" t="s">
        <v>130</v>
      </c>
      <c r="G39" s="31" t="s">
        <v>69</v>
      </c>
      <c r="H39" s="1"/>
      <c r="I39" s="3" t="s">
        <v>131</v>
      </c>
      <c r="J39" s="1"/>
      <c r="K39" s="1"/>
      <c r="L39" s="1"/>
    </row>
    <row r="40" customFormat="false" ht="15" hidden="false" customHeight="false" outlineLevel="0" collapsed="false">
      <c r="A40" s="1"/>
      <c r="B40" s="28" t="s">
        <v>132</v>
      </c>
      <c r="C40" s="32" t="n">
        <v>600</v>
      </c>
      <c r="D40" s="32" t="n">
        <v>600</v>
      </c>
      <c r="E40" s="32" t="n">
        <v>1000</v>
      </c>
      <c r="F40" s="30" t="s">
        <v>133</v>
      </c>
      <c r="G40" s="31" t="s">
        <v>69</v>
      </c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28" t="s">
        <v>134</v>
      </c>
      <c r="C41" s="32" t="n">
        <v>600</v>
      </c>
      <c r="D41" s="32" t="n">
        <v>600</v>
      </c>
      <c r="E41" s="32" t="n">
        <v>1000</v>
      </c>
      <c r="F41" s="30" t="s">
        <v>135</v>
      </c>
      <c r="G41" s="31" t="s">
        <v>69</v>
      </c>
      <c r="H41" s="1"/>
      <c r="I41" s="17" t="s">
        <v>136</v>
      </c>
      <c r="J41" s="1"/>
      <c r="K41" s="1"/>
      <c r="L41" s="1"/>
    </row>
    <row r="42" customFormat="false" ht="15" hidden="false" customHeight="false" outlineLevel="0" collapsed="false">
      <c r="A42" s="1"/>
      <c r="B42" s="33" t="s">
        <v>137</v>
      </c>
      <c r="C42" s="34" t="n">
        <f aca="false">SUM(C38:C41)</f>
        <v>3000</v>
      </c>
      <c r="D42" s="34" t="n">
        <f aca="false">SUM(D38:D41)</f>
        <v>3500</v>
      </c>
      <c r="E42" s="34" t="n">
        <f aca="false">SUM(E38:E41)</f>
        <v>5700</v>
      </c>
      <c r="F42" s="30" t="s">
        <v>138</v>
      </c>
      <c r="G42" s="31"/>
      <c r="H42" s="1"/>
      <c r="I42" s="4" t="s">
        <v>51</v>
      </c>
      <c r="J42" s="4" t="s">
        <v>3</v>
      </c>
      <c r="K42" s="4" t="s">
        <v>4</v>
      </c>
      <c r="L42" s="4" t="s">
        <v>5</v>
      </c>
    </row>
    <row r="43" customFormat="false" ht="15" hidden="false" customHeight="false" outlineLevel="0" collapsed="false">
      <c r="A43" s="1"/>
      <c r="B43" s="33" t="s">
        <v>139</v>
      </c>
      <c r="C43" s="34" t="n">
        <f aca="false">C36+C42</f>
        <v>26370.5</v>
      </c>
      <c r="D43" s="34" t="n">
        <f aca="false">D36+D42</f>
        <v>67784.1</v>
      </c>
      <c r="E43" s="34" t="n">
        <f aca="false">E36+E42</f>
        <v>121984.1</v>
      </c>
      <c r="F43" s="30" t="s">
        <v>140</v>
      </c>
      <c r="G43" s="31"/>
      <c r="H43" s="1"/>
      <c r="I43" s="5" t="str">
        <f aca="false">$I$6</f>
        <v>Claude Fable 5.1</v>
      </c>
      <c r="J43" s="39" t="n">
        <f aca="false">$J$6*C$66/1000000+$K$6*C$67/1000000</f>
        <v>1.134444</v>
      </c>
      <c r="K43" s="39" t="n">
        <f aca="false">$J$6*D$66/1000000+$K$6*D$67/1000000</f>
        <v>1.99938888888889</v>
      </c>
      <c r="L43" s="39" t="n">
        <f aca="false">$J$6*E$66/1000000+$K$6*E$67/1000000</f>
        <v>3.50577777777778</v>
      </c>
    </row>
    <row r="44" customFormat="false" ht="22.35" hidden="false" customHeight="false" outlineLevel="0" collapsed="false">
      <c r="A44" s="1"/>
      <c r="B44" s="28" t="s">
        <v>141</v>
      </c>
      <c r="C44" s="36" t="n">
        <f aca="false">C18+C20+C21+MAX(C33,C34,C35)</f>
        <v>8171.6</v>
      </c>
      <c r="D44" s="36" t="n">
        <f aca="false">D18+D20+D21+MAX(D33,D34,D35)</f>
        <v>18400</v>
      </c>
      <c r="E44" s="36" t="n">
        <f aca="false">E18+E20+E21+MAX(E33,E34,E35)</f>
        <v>31400</v>
      </c>
      <c r="F44" s="30" t="s">
        <v>142</v>
      </c>
      <c r="G44" s="31"/>
      <c r="H44" s="1"/>
      <c r="I44" s="5" t="str">
        <f aca="false">$I$7</f>
        <v>Claude Opus 5.5</v>
      </c>
      <c r="J44" s="39" t="n">
        <f aca="false">$J$7*C$66/1000000+$K$7*C$67/1000000</f>
        <v>0.4537776</v>
      </c>
      <c r="K44" s="39" t="n">
        <f aca="false">$J$7*D$66/1000000+$K$7*D$67/1000000</f>
        <v>0.799755555555556</v>
      </c>
      <c r="L44" s="39" t="n">
        <f aca="false">$J$7*E$66/1000000+$K$7*E$67/1000000</f>
        <v>1.40231111111111</v>
      </c>
    </row>
    <row r="45" customFormat="false" ht="15" hidden="false" customHeight="false" outlineLevel="0" collapsed="false">
      <c r="A45" s="1"/>
      <c r="B45" s="5" t="s">
        <v>143</v>
      </c>
      <c r="C45" s="40" t="str">
        <f aca="false">IF(C44&lt;272000,"OK","Long-ctx rate")</f>
        <v>OK</v>
      </c>
      <c r="D45" s="40" t="str">
        <f aca="false">IF(D44&lt;272000,"OK","Long-ctx rate")</f>
        <v>OK</v>
      </c>
      <c r="E45" s="40" t="str">
        <f aca="false">IF(E44&lt;272000,"OK","Long-ctx rate")</f>
        <v>OK</v>
      </c>
      <c r="F45" s="3" t="s">
        <v>144</v>
      </c>
      <c r="G45" s="1"/>
      <c r="H45" s="1"/>
      <c r="I45" s="5" t="str">
        <f aca="false">$I$8</f>
        <v>Claude Sonnet 5.5</v>
      </c>
      <c r="J45" s="39" t="n">
        <f aca="false">$J$8*C$66/1000000+$K$8*C$67/1000000</f>
        <v>0.2268888</v>
      </c>
      <c r="K45" s="39" t="n">
        <f aca="false">$J$8*D$66/1000000+$K$8*D$67/1000000</f>
        <v>0.399877777777778</v>
      </c>
      <c r="L45" s="39" t="n">
        <f aca="false">$J$8*E$66/1000000+$K$8*E$67/1000000</f>
        <v>0.701155555555556</v>
      </c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5" t="str">
        <f aca="false">$I$9</f>
        <v>Claude Haiku 5.5</v>
      </c>
      <c r="J46" s="39" t="n">
        <f aca="false">$J$9*C$66/1000000+$K$9*C$67/1000000</f>
        <v>0.01134444</v>
      </c>
      <c r="K46" s="39" t="n">
        <f aca="false">$J$9*D$66/1000000+$K$9*D$67/1000000</f>
        <v>0.0199938888888889</v>
      </c>
      <c r="L46" s="39" t="n">
        <f aca="false">$J$9*E$66/1000000+$K$9*E$67/1000000</f>
        <v>0.0350577777777778</v>
      </c>
    </row>
    <row r="47" customFormat="false" ht="15" hidden="false" customHeight="false" outlineLevel="0" collapsed="false">
      <c r="A47" s="1"/>
      <c r="B47" s="24" t="s">
        <v>145</v>
      </c>
      <c r="C47" s="25"/>
      <c r="D47" s="25"/>
      <c r="E47" s="25"/>
      <c r="F47" s="25"/>
      <c r="G47" s="25"/>
      <c r="H47" s="1"/>
      <c r="I47" s="1"/>
      <c r="J47" s="1"/>
      <c r="K47" s="1"/>
      <c r="L47" s="1"/>
    </row>
    <row r="48" customFormat="false" ht="22.35" hidden="false" customHeight="false" outlineLevel="0" collapsed="false">
      <c r="A48" s="1"/>
      <c r="B48" s="28" t="s">
        <v>146</v>
      </c>
      <c r="C48" s="32" t="n">
        <v>945</v>
      </c>
      <c r="D48" s="32" t="n">
        <v>1500</v>
      </c>
      <c r="E48" s="32" t="n">
        <v>3000</v>
      </c>
      <c r="F48" s="30" t="s">
        <v>147</v>
      </c>
      <c r="G48" s="31" t="s">
        <v>148</v>
      </c>
      <c r="H48" s="1"/>
      <c r="I48" s="3" t="s">
        <v>149</v>
      </c>
      <c r="J48" s="1"/>
      <c r="K48" s="1"/>
      <c r="L48" s="1"/>
    </row>
    <row r="49" customFormat="false" ht="15" hidden="false" customHeight="false" outlineLevel="0" collapsed="false">
      <c r="A49" s="1"/>
      <c r="B49" s="28" t="s">
        <v>150</v>
      </c>
      <c r="C49" s="36" t="n">
        <f aca="false">C48*C7</f>
        <v>1228.5</v>
      </c>
      <c r="D49" s="36" t="n">
        <f aca="false">D48*D7</f>
        <v>1950</v>
      </c>
      <c r="E49" s="36" t="n">
        <f aca="false">E48*E7</f>
        <v>3900</v>
      </c>
      <c r="F49" s="30" t="s">
        <v>85</v>
      </c>
      <c r="G49" s="31"/>
      <c r="H49" s="1"/>
      <c r="I49" s="3" t="s">
        <v>151</v>
      </c>
      <c r="J49" s="1"/>
      <c r="K49" s="1"/>
      <c r="L49" s="1"/>
    </row>
    <row r="50" customFormat="false" ht="15" hidden="false" customHeight="false" outlineLevel="0" collapsed="false">
      <c r="A50" s="1"/>
      <c r="B50" s="28" t="s">
        <v>152</v>
      </c>
      <c r="C50" s="36" t="n">
        <f aca="false">C49*C19</f>
        <v>4914</v>
      </c>
      <c r="D50" s="36" t="n">
        <f aca="false">D49*D19</f>
        <v>7800</v>
      </c>
      <c r="E50" s="36" t="n">
        <f aca="false">E49*E19</f>
        <v>15600</v>
      </c>
      <c r="F50" s="30" t="s">
        <v>153</v>
      </c>
      <c r="G50" s="31"/>
      <c r="H50" s="1"/>
      <c r="I50" s="1"/>
      <c r="J50" s="1"/>
      <c r="K50" s="1"/>
      <c r="L50" s="1"/>
    </row>
    <row r="51" customFormat="false" ht="23.85" hidden="false" customHeight="false" outlineLevel="0" collapsed="false">
      <c r="A51" s="1"/>
      <c r="B51" s="28" t="s">
        <v>154</v>
      </c>
      <c r="C51" s="36" t="n">
        <f aca="false">C32+C33+C34+C35</f>
        <v>12284.1</v>
      </c>
      <c r="D51" s="36" t="n">
        <f aca="false">D32+D33+D34+D35</f>
        <v>12284.1</v>
      </c>
      <c r="E51" s="36" t="n">
        <f aca="false">E32+E33+E34+E35</f>
        <v>12284.1</v>
      </c>
      <c r="F51" s="30" t="s">
        <v>155</v>
      </c>
      <c r="G51" s="3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33" t="s">
        <v>156</v>
      </c>
      <c r="C52" s="34" t="n">
        <f aca="false">C50+C51</f>
        <v>17198.1</v>
      </c>
      <c r="D52" s="34" t="n">
        <f aca="false">D50+D51</f>
        <v>20084.1</v>
      </c>
      <c r="E52" s="34" t="n">
        <f aca="false">E50+E51</f>
        <v>27884.1</v>
      </c>
      <c r="F52" s="30" t="s">
        <v>157</v>
      </c>
      <c r="G52" s="31"/>
      <c r="H52" s="1"/>
      <c r="I52" s="1"/>
      <c r="J52" s="1"/>
      <c r="K52" s="1"/>
      <c r="L52" s="1"/>
    </row>
    <row r="53" customFormat="false" ht="22.35" hidden="false" customHeight="false" outlineLevel="0" collapsed="false">
      <c r="A53" s="1"/>
      <c r="B53" s="33" t="s">
        <v>158</v>
      </c>
      <c r="C53" s="41" t="n">
        <v>1800</v>
      </c>
      <c r="D53" s="41" t="n">
        <v>1800</v>
      </c>
      <c r="E53" s="41" t="n">
        <v>2800</v>
      </c>
      <c r="F53" s="30" t="s">
        <v>159</v>
      </c>
      <c r="G53" s="31" t="s">
        <v>69</v>
      </c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33" t="s">
        <v>160</v>
      </c>
      <c r="C54" s="34" t="n">
        <f aca="false">C52+C53</f>
        <v>18998.1</v>
      </c>
      <c r="D54" s="34" t="n">
        <f aca="false">D52+D53</f>
        <v>21884.1</v>
      </c>
      <c r="E54" s="34" t="n">
        <f aca="false">E52+E53</f>
        <v>30684.1</v>
      </c>
      <c r="F54" s="30" t="s">
        <v>140</v>
      </c>
      <c r="G54" s="3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false" outlineLevel="0" collapsed="false">
      <c r="A56" s="1"/>
      <c r="B56" s="24" t="s">
        <v>161</v>
      </c>
      <c r="C56" s="25"/>
      <c r="D56" s="25"/>
      <c r="E56" s="25"/>
      <c r="F56" s="25"/>
      <c r="G56" s="25"/>
      <c r="H56" s="1"/>
      <c r="I56" s="1"/>
      <c r="J56" s="1"/>
      <c r="K56" s="1"/>
      <c r="L56" s="1"/>
    </row>
    <row r="57" customFormat="false" ht="22.35" hidden="false" customHeight="false" outlineLevel="0" collapsed="false">
      <c r="A57" s="1"/>
      <c r="B57" s="28" t="s">
        <v>162</v>
      </c>
      <c r="C57" s="36" t="n">
        <f aca="false">IFERROR((C8*C17+C9*C48)/(C8+C9),0)</f>
        <v>1453.71428571429</v>
      </c>
      <c r="D57" s="36" t="n">
        <f aca="false">IFERROR((D8*D17+D9*D48)/(D8+D9),0)</f>
        <v>5277.77777777778</v>
      </c>
      <c r="E57" s="36" t="n">
        <f aca="false">IFERROR((E8*E17+E9*E48)/(E8+E9),0)</f>
        <v>10555.5555555556</v>
      </c>
      <c r="F57" s="30" t="s">
        <v>163</v>
      </c>
      <c r="G57" s="31"/>
      <c r="H57" s="1"/>
      <c r="I57" s="1"/>
      <c r="J57" s="1"/>
      <c r="K57" s="1"/>
      <c r="L57" s="1"/>
    </row>
    <row r="58" customFormat="false" ht="15" hidden="false" customHeight="false" outlineLevel="0" collapsed="false">
      <c r="A58" s="1"/>
      <c r="B58" s="28" t="s">
        <v>164</v>
      </c>
      <c r="C58" s="36" t="n">
        <f aca="false">C57*C7</f>
        <v>1889.82857142857</v>
      </c>
      <c r="D58" s="36" t="n">
        <f aca="false">D57*D7</f>
        <v>6861.11111111111</v>
      </c>
      <c r="E58" s="36" t="n">
        <f aca="false">E57*E7</f>
        <v>13722.2222222222</v>
      </c>
      <c r="F58" s="30" t="s">
        <v>85</v>
      </c>
      <c r="G58" s="3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33" t="s">
        <v>165</v>
      </c>
      <c r="C59" s="34" t="n">
        <f aca="false">C58+C20+C21</f>
        <v>2789.82857142857</v>
      </c>
      <c r="D59" s="34" t="n">
        <f aca="false">D58+D20+D21</f>
        <v>7761.11111111111</v>
      </c>
      <c r="E59" s="34" t="n">
        <f aca="false">E58+E20+E21</f>
        <v>14622.2222222222</v>
      </c>
      <c r="F59" s="30" t="s">
        <v>166</v>
      </c>
      <c r="G59" s="31"/>
      <c r="H59" s="1"/>
      <c r="I59" s="1"/>
      <c r="J59" s="1"/>
      <c r="K59" s="1"/>
      <c r="L59" s="1"/>
    </row>
    <row r="60" customFormat="false" ht="23.85" hidden="false" customHeight="false" outlineLevel="0" collapsed="false">
      <c r="A60" s="1"/>
      <c r="B60" s="33" t="s">
        <v>167</v>
      </c>
      <c r="C60" s="41" t="n">
        <v>800</v>
      </c>
      <c r="D60" s="41" t="n">
        <v>800</v>
      </c>
      <c r="E60" s="41" t="n">
        <v>1200</v>
      </c>
      <c r="F60" s="30" t="s">
        <v>168</v>
      </c>
      <c r="G60" s="31" t="s">
        <v>69</v>
      </c>
      <c r="H60" s="1"/>
      <c r="I60" s="1"/>
      <c r="J60" s="1"/>
      <c r="K60" s="1"/>
      <c r="L60" s="1"/>
    </row>
    <row r="61" customFormat="false" ht="15" hidden="false" customHeight="false" outlineLevel="0" collapsed="false">
      <c r="A61" s="1"/>
      <c r="B61" s="33" t="s">
        <v>169</v>
      </c>
      <c r="C61" s="34" t="n">
        <f aca="false">C59+C60</f>
        <v>3589.82857142857</v>
      </c>
      <c r="D61" s="34" t="n">
        <f aca="false">D59+D60</f>
        <v>8561.11111111111</v>
      </c>
      <c r="E61" s="34" t="n">
        <f aca="false">E59+E60</f>
        <v>15822.2222222222</v>
      </c>
      <c r="F61" s="30" t="s">
        <v>140</v>
      </c>
      <c r="G61" s="31"/>
      <c r="H61" s="1"/>
      <c r="I61" s="1"/>
      <c r="J61" s="1"/>
      <c r="K61" s="1"/>
      <c r="L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5" hidden="false" customHeight="false" outlineLevel="0" collapsed="false">
      <c r="A63" s="1"/>
      <c r="B63" s="24" t="s">
        <v>170</v>
      </c>
      <c r="C63" s="25"/>
      <c r="D63" s="25"/>
      <c r="E63" s="25"/>
      <c r="F63" s="25"/>
      <c r="G63" s="25"/>
      <c r="H63" s="1"/>
      <c r="I63" s="1"/>
      <c r="J63" s="1"/>
      <c r="K63" s="1"/>
      <c r="L63" s="1"/>
    </row>
    <row r="64" customFormat="false" ht="15" hidden="false" customHeight="false" outlineLevel="0" collapsed="false">
      <c r="A64" s="1"/>
      <c r="B64" s="28" t="s">
        <v>171</v>
      </c>
      <c r="C64" s="37" t="n">
        <v>17</v>
      </c>
      <c r="D64" s="37" t="n">
        <v>17</v>
      </c>
      <c r="E64" s="37" t="n">
        <v>17</v>
      </c>
      <c r="F64" s="30" t="s">
        <v>172</v>
      </c>
      <c r="G64" s="31" t="s">
        <v>95</v>
      </c>
      <c r="H64" s="1"/>
      <c r="I64" s="1"/>
      <c r="J64" s="1"/>
      <c r="K64" s="1"/>
      <c r="L64" s="1"/>
    </row>
    <row r="65" customFormat="false" ht="22.35" hidden="false" customHeight="false" outlineLevel="0" collapsed="false">
      <c r="A65" s="1"/>
      <c r="B65" s="28" t="s">
        <v>173</v>
      </c>
      <c r="C65" s="32" t="n">
        <v>1364</v>
      </c>
      <c r="D65" s="36" t="n">
        <f aca="false">D57</f>
        <v>5277.77777777778</v>
      </c>
      <c r="E65" s="36" t="n">
        <f aca="false">E57</f>
        <v>10555.5555555556</v>
      </c>
      <c r="F65" s="30" t="s">
        <v>174</v>
      </c>
      <c r="G65" s="31" t="s">
        <v>95</v>
      </c>
      <c r="H65" s="1"/>
      <c r="I65" s="1"/>
      <c r="J65" s="1"/>
      <c r="K65" s="1"/>
      <c r="L65" s="1"/>
    </row>
    <row r="66" customFormat="false" ht="15" hidden="false" customHeight="false" outlineLevel="0" collapsed="false">
      <c r="A66" s="1"/>
      <c r="B66" s="33" t="s">
        <v>175</v>
      </c>
      <c r="C66" s="34" t="n">
        <f aca="false">C64*(C65*C7+C20+C21)</f>
        <v>45444.4</v>
      </c>
      <c r="D66" s="34" t="n">
        <f aca="false">D64*(D65*D7+D20+D21)</f>
        <v>131938.888888889</v>
      </c>
      <c r="E66" s="34" t="n">
        <f aca="false">E64*(E65*E7+E20+E21)</f>
        <v>248577.777777778</v>
      </c>
      <c r="F66" s="30" t="s">
        <v>176</v>
      </c>
      <c r="G66" s="3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33" t="s">
        <v>177</v>
      </c>
      <c r="C67" s="34" t="n">
        <f aca="false">C64*C60</f>
        <v>13600</v>
      </c>
      <c r="D67" s="34" t="n">
        <f aca="false">D64*D60</f>
        <v>13600</v>
      </c>
      <c r="E67" s="34" t="n">
        <f aca="false">E64*E60</f>
        <v>20400</v>
      </c>
      <c r="F67" s="30" t="s">
        <v>178</v>
      </c>
      <c r="G67" s="31"/>
      <c r="H67" s="1"/>
      <c r="I67" s="1"/>
      <c r="J67" s="1"/>
      <c r="K67" s="1"/>
      <c r="L67" s="1"/>
    </row>
  </sheetData>
  <mergeCells count="1"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4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1"/>
      <c r="B2" s="22" t="s">
        <v>179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4" t="s">
        <v>48</v>
      </c>
      <c r="C4" s="4" t="s">
        <v>3</v>
      </c>
      <c r="D4" s="4" t="s">
        <v>4</v>
      </c>
      <c r="E4" s="4" t="s">
        <v>5</v>
      </c>
      <c r="F4" s="4" t="s">
        <v>49</v>
      </c>
      <c r="G4" s="4" t="s">
        <v>50</v>
      </c>
    </row>
    <row r="5" customFormat="false" ht="15" hidden="false" customHeight="false" outlineLevel="0" collapsed="false">
      <c r="A5" s="1"/>
      <c r="B5" s="28" t="s">
        <v>56</v>
      </c>
      <c r="C5" s="42" t="n">
        <f aca="false">Inference!C7</f>
        <v>1.3</v>
      </c>
      <c r="D5" s="42" t="n">
        <f aca="false">Inference!D7</f>
        <v>1.3</v>
      </c>
      <c r="E5" s="42" t="n">
        <f aca="false">Inference!E7</f>
        <v>1.3</v>
      </c>
      <c r="F5" s="30" t="s">
        <v>180</v>
      </c>
      <c r="G5" s="31"/>
    </row>
    <row r="6" customFormat="false" ht="43.25" hidden="false" customHeight="false" outlineLevel="0" collapsed="false">
      <c r="A6" s="1"/>
      <c r="B6" s="28" t="s">
        <v>181</v>
      </c>
      <c r="C6" s="27" t="n">
        <v>0.13</v>
      </c>
      <c r="D6" s="27" t="n">
        <v>0.13</v>
      </c>
      <c r="E6" s="27" t="n">
        <v>0.13</v>
      </c>
      <c r="F6" s="30" t="s">
        <v>182</v>
      </c>
      <c r="G6" s="31" t="s">
        <v>58</v>
      </c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</row>
    <row r="8" customFormat="false" ht="15" hidden="false" customHeight="false" outlineLevel="0" collapsed="false">
      <c r="A8" s="1"/>
      <c r="B8" s="24" t="s">
        <v>183</v>
      </c>
      <c r="C8" s="25"/>
      <c r="D8" s="25"/>
      <c r="E8" s="25"/>
      <c r="F8" s="25"/>
      <c r="G8" s="25"/>
    </row>
    <row r="9" customFormat="false" ht="22.35" hidden="false" customHeight="false" outlineLevel="0" collapsed="false">
      <c r="A9" s="1"/>
      <c r="B9" s="28" t="s">
        <v>184</v>
      </c>
      <c r="C9" s="43" t="n">
        <f aca="false">Inference!C64*Inference!C65*C5</f>
        <v>30144.4</v>
      </c>
      <c r="D9" s="43" t="n">
        <f aca="false">Inference!D64*Inference!D65*D5</f>
        <v>116638.888888889</v>
      </c>
      <c r="E9" s="43" t="n">
        <f aca="false">Inference!E64*Inference!E65*E5</f>
        <v>233277.777777778</v>
      </c>
      <c r="F9" s="30" t="s">
        <v>185</v>
      </c>
      <c r="G9" s="31"/>
    </row>
    <row r="10" customFormat="false" ht="15" hidden="false" customHeight="false" outlineLevel="0" collapsed="false">
      <c r="A10" s="1"/>
      <c r="B10" s="28" t="s">
        <v>186</v>
      </c>
      <c r="C10" s="43" t="n">
        <f aca="false">Inference!C22*C5</f>
        <v>1909.7</v>
      </c>
      <c r="D10" s="43" t="n">
        <f aca="false">Inference!D22*D5</f>
        <v>1909.7</v>
      </c>
      <c r="E10" s="43" t="n">
        <f aca="false">Inference!E22*E5</f>
        <v>1909.7</v>
      </c>
      <c r="F10" s="30" t="s">
        <v>180</v>
      </c>
      <c r="G10" s="31"/>
    </row>
    <row r="11" customFormat="false" ht="22.35" hidden="false" customHeight="false" outlineLevel="0" collapsed="false">
      <c r="A11" s="1"/>
      <c r="B11" s="28" t="s">
        <v>187</v>
      </c>
      <c r="C11" s="32" t="n">
        <v>991</v>
      </c>
      <c r="D11" s="32" t="n">
        <v>991</v>
      </c>
      <c r="E11" s="32" t="n">
        <v>991</v>
      </c>
      <c r="F11" s="30" t="s">
        <v>188</v>
      </c>
      <c r="G11" s="31" t="s">
        <v>95</v>
      </c>
    </row>
    <row r="12" customFormat="false" ht="15" hidden="false" customHeight="false" outlineLevel="0" collapsed="false">
      <c r="A12" s="1"/>
      <c r="B12" s="28" t="s">
        <v>189</v>
      </c>
      <c r="C12" s="36" t="n">
        <f aca="false">C11*C5</f>
        <v>1288.3</v>
      </c>
      <c r="D12" s="36" t="n">
        <f aca="false">D11*D5</f>
        <v>1288.3</v>
      </c>
      <c r="E12" s="36" t="n">
        <f aca="false">E11*E5</f>
        <v>1288.3</v>
      </c>
      <c r="F12" s="30" t="s">
        <v>85</v>
      </c>
      <c r="G12" s="31"/>
    </row>
    <row r="13" customFormat="false" ht="15" hidden="false" customHeight="false" outlineLevel="0" collapsed="false">
      <c r="A13" s="1"/>
      <c r="B13" s="28" t="s">
        <v>190</v>
      </c>
      <c r="C13" s="43" t="n">
        <f aca="false">Inference!C29*C5+Inference!C30</f>
        <v>1374.4</v>
      </c>
      <c r="D13" s="43" t="n">
        <f aca="false">Inference!D29*D5+Inference!D30</f>
        <v>1374.4</v>
      </c>
      <c r="E13" s="43" t="n">
        <f aca="false">Inference!E29*E5+Inference!E30</f>
        <v>1374.4</v>
      </c>
      <c r="F13" s="30" t="s">
        <v>180</v>
      </c>
      <c r="G13" s="31"/>
    </row>
    <row r="14" customFormat="false" ht="15" hidden="false" customHeight="false" outlineLevel="0" collapsed="false">
      <c r="A14" s="1"/>
      <c r="B14" s="33" t="s">
        <v>191</v>
      </c>
      <c r="C14" s="34" t="n">
        <f aca="false">SUM(C9:C10)+C12+C13</f>
        <v>34716.8</v>
      </c>
      <c r="D14" s="34" t="n">
        <f aca="false">SUM(D9:D10)+D12+D13</f>
        <v>121211.288888889</v>
      </c>
      <c r="E14" s="34" t="n">
        <f aca="false">SUM(E9:E10)+E12+E13</f>
        <v>237850.177777778</v>
      </c>
      <c r="F14" s="30" t="s">
        <v>157</v>
      </c>
      <c r="G14" s="31"/>
    </row>
    <row r="15" customFormat="false" ht="15" hidden="false" customHeight="false" outlineLevel="0" collapsed="false">
      <c r="A15" s="1"/>
      <c r="B15" s="33" t="s">
        <v>192</v>
      </c>
      <c r="C15" s="44" t="n">
        <f aca="false">C14*C6/1000000</f>
        <v>0.004513184</v>
      </c>
      <c r="D15" s="44" t="n">
        <f aca="false">D14*D6/1000000</f>
        <v>0.0157574675555556</v>
      </c>
      <c r="E15" s="44" t="n">
        <f aca="false">E14*E6/1000000</f>
        <v>0.0309205231111111</v>
      </c>
      <c r="F15" s="30" t="s">
        <v>193</v>
      </c>
      <c r="G15" s="3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5" hidden="false" customHeight="false" outlineLevel="0" collapsed="false">
      <c r="A17" s="1"/>
      <c r="B17" s="24" t="s">
        <v>194</v>
      </c>
      <c r="C17" s="25"/>
      <c r="D17" s="25"/>
      <c r="E17" s="25"/>
      <c r="F17" s="25"/>
      <c r="G17" s="25"/>
    </row>
    <row r="18" customFormat="false" ht="22.35" hidden="false" customHeight="false" outlineLevel="0" collapsed="false">
      <c r="A18" s="1"/>
      <c r="B18" s="28" t="s">
        <v>195</v>
      </c>
      <c r="C18" s="43" t="n">
        <f aca="false">Inference!C14*Inference!C58</f>
        <v>13228.8</v>
      </c>
      <c r="D18" s="43" t="n">
        <f aca="false">Inference!D14*Inference!D58</f>
        <v>61750</v>
      </c>
      <c r="E18" s="43" t="n">
        <f aca="false">Inference!E14*Inference!E58</f>
        <v>247000</v>
      </c>
      <c r="F18" s="30" t="s">
        <v>196</v>
      </c>
      <c r="G18" s="31"/>
    </row>
    <row r="19" customFormat="false" ht="23.85" hidden="false" customHeight="false" outlineLevel="0" collapsed="false">
      <c r="A19" s="1"/>
      <c r="B19" s="28" t="s">
        <v>197</v>
      </c>
      <c r="C19" s="43" t="n">
        <f aca="false">Inference!C12*Inference!C18+Inference!C13*Inference!C49</f>
        <v>13228.8</v>
      </c>
      <c r="D19" s="43" t="n">
        <f aca="false">Inference!D12*Inference!D18+Inference!D13*Inference!D49</f>
        <v>113750</v>
      </c>
      <c r="E19" s="43" t="n">
        <f aca="false">Inference!E12*Inference!E18+Inference!E13*Inference!E49</f>
        <v>702000</v>
      </c>
      <c r="F19" s="30" t="s">
        <v>198</v>
      </c>
      <c r="G19" s="31"/>
    </row>
    <row r="20" customFormat="false" ht="15" hidden="false" customHeight="false" outlineLevel="0" collapsed="false">
      <c r="A20" s="1"/>
      <c r="B20" s="33" t="s">
        <v>199</v>
      </c>
      <c r="C20" s="34" t="n">
        <f aca="false">C18+C19</f>
        <v>26457.6</v>
      </c>
      <c r="D20" s="34" t="n">
        <f aca="false">D18+D19</f>
        <v>175500</v>
      </c>
      <c r="E20" s="34" t="n">
        <f aca="false">E18+E19</f>
        <v>949000</v>
      </c>
      <c r="F20" s="30" t="s">
        <v>157</v>
      </c>
      <c r="G20" s="31"/>
    </row>
    <row r="21" customFormat="false" ht="15" hidden="false" customHeight="false" outlineLevel="0" collapsed="false">
      <c r="A21" s="1"/>
      <c r="B21" s="33" t="s">
        <v>200</v>
      </c>
      <c r="C21" s="44" t="n">
        <f aca="false">C20*C6/1000000</f>
        <v>0.003439488</v>
      </c>
      <c r="D21" s="44" t="n">
        <f aca="false">D20*D6/1000000</f>
        <v>0.022815</v>
      </c>
      <c r="E21" s="44" t="n">
        <f aca="false">E20*E6/1000000</f>
        <v>0.12337</v>
      </c>
      <c r="F21" s="30" t="s">
        <v>193</v>
      </c>
      <c r="G21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5"/>
    <col collapsed="false" customWidth="true" hidden="false" outlineLevel="0" max="5" min="5" style="0" width="5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7.35" hidden="false" customHeight="false" outlineLevel="0" collapsed="false">
      <c r="A2" s="1"/>
      <c r="B2" s="22" t="s">
        <v>201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3" t="s">
        <v>202</v>
      </c>
      <c r="C3" s="1"/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23.85" hidden="false" customHeight="false" outlineLevel="0" collapsed="false">
      <c r="A5" s="1"/>
      <c r="B5" s="4" t="s">
        <v>203</v>
      </c>
      <c r="C5" s="4" t="s">
        <v>204</v>
      </c>
      <c r="D5" s="4" t="s">
        <v>205</v>
      </c>
      <c r="E5" s="4" t="s">
        <v>206</v>
      </c>
      <c r="F5" s="4" t="s">
        <v>50</v>
      </c>
    </row>
    <row r="6" customFormat="false" ht="22.35" hidden="false" customHeight="false" outlineLevel="0" collapsed="false">
      <c r="A6" s="1"/>
      <c r="B6" s="28" t="s">
        <v>207</v>
      </c>
      <c r="C6" s="45" t="n">
        <v>0</v>
      </c>
      <c r="D6" s="45" t="n">
        <v>20</v>
      </c>
      <c r="E6" s="30" t="s">
        <v>208</v>
      </c>
      <c r="F6" s="31" t="s">
        <v>69</v>
      </c>
    </row>
    <row r="7" customFormat="false" ht="23.85" hidden="false" customHeight="false" outlineLevel="0" collapsed="false">
      <c r="A7" s="1"/>
      <c r="B7" s="28" t="s">
        <v>209</v>
      </c>
      <c r="C7" s="45" t="n">
        <v>0</v>
      </c>
      <c r="D7" s="45" t="n">
        <v>25</v>
      </c>
      <c r="E7" s="30" t="s">
        <v>210</v>
      </c>
      <c r="F7" s="31" t="s">
        <v>69</v>
      </c>
    </row>
    <row r="8" customFormat="false" ht="23.85" hidden="false" customHeight="false" outlineLevel="0" collapsed="false">
      <c r="A8" s="1"/>
      <c r="B8" s="28" t="s">
        <v>211</v>
      </c>
      <c r="C8" s="45" t="n">
        <v>0</v>
      </c>
      <c r="D8" s="45" t="n">
        <v>7</v>
      </c>
      <c r="E8" s="30" t="s">
        <v>212</v>
      </c>
      <c r="F8" s="31" t="s">
        <v>69</v>
      </c>
    </row>
    <row r="9" customFormat="false" ht="15" hidden="false" customHeight="false" outlineLevel="0" collapsed="false">
      <c r="A9" s="1"/>
      <c r="B9" s="28" t="s">
        <v>213</v>
      </c>
      <c r="C9" s="45" t="n">
        <v>0</v>
      </c>
      <c r="D9" s="45" t="n">
        <v>0</v>
      </c>
      <c r="E9" s="30" t="s">
        <v>214</v>
      </c>
      <c r="F9" s="31" t="s">
        <v>69</v>
      </c>
    </row>
    <row r="10" customFormat="false" ht="23.85" hidden="false" customHeight="false" outlineLevel="0" collapsed="false">
      <c r="A10" s="1"/>
      <c r="B10" s="28" t="s">
        <v>215</v>
      </c>
      <c r="C10" s="45" t="n">
        <v>0</v>
      </c>
      <c r="D10" s="45" t="n">
        <v>0</v>
      </c>
      <c r="E10" s="30" t="s">
        <v>216</v>
      </c>
      <c r="F10" s="31" t="s">
        <v>69</v>
      </c>
    </row>
    <row r="11" customFormat="false" ht="23.85" hidden="false" customHeight="false" outlineLevel="0" collapsed="false">
      <c r="A11" s="1"/>
      <c r="B11" s="28" t="s">
        <v>217</v>
      </c>
      <c r="C11" s="45" t="n">
        <v>0</v>
      </c>
      <c r="D11" s="45" t="n">
        <v>0</v>
      </c>
      <c r="E11" s="30" t="s">
        <v>218</v>
      </c>
      <c r="F11" s="31" t="s">
        <v>69</v>
      </c>
    </row>
    <row r="12" customFormat="false" ht="15" hidden="false" customHeight="false" outlineLevel="0" collapsed="false">
      <c r="A12" s="1"/>
      <c r="B12" s="26" t="s">
        <v>219</v>
      </c>
      <c r="C12" s="38" t="n">
        <f aca="false">SUM(C6:C11)</f>
        <v>0</v>
      </c>
      <c r="D12" s="38" t="n">
        <f aca="false">SUM(D6:D11)</f>
        <v>52</v>
      </c>
      <c r="E12" s="46"/>
      <c r="F12" s="46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</row>
    <row r="14" customFormat="false" ht="15" hidden="false" customHeight="false" outlineLevel="0" collapsed="false">
      <c r="A14" s="1"/>
      <c r="B14" s="17" t="s">
        <v>220</v>
      </c>
      <c r="C14" s="1"/>
      <c r="D14" s="1"/>
      <c r="E14" s="1"/>
      <c r="F14" s="1"/>
    </row>
    <row r="15" customFormat="false" ht="15" hidden="false" customHeight="false" outlineLevel="0" collapsed="false">
      <c r="A15" s="1"/>
      <c r="B15" s="20" t="s">
        <v>221</v>
      </c>
      <c r="C15" s="1"/>
      <c r="D15" s="1"/>
      <c r="E15" s="1"/>
      <c r="F15" s="1"/>
    </row>
    <row r="16" customFormat="false" ht="15" hidden="false" customHeight="false" outlineLevel="0" collapsed="false">
      <c r="A16" s="1"/>
      <c r="B16" s="20" t="s">
        <v>222</v>
      </c>
      <c r="C16" s="1"/>
      <c r="D16" s="1"/>
      <c r="E16" s="1"/>
      <c r="F16" s="1"/>
    </row>
    <row r="17" customFormat="false" ht="15" hidden="false" customHeight="false" outlineLevel="0" collapsed="false">
      <c r="A17" s="1"/>
      <c r="B17" s="20" t="s">
        <v>223</v>
      </c>
      <c r="C17" s="1"/>
      <c r="D17" s="1"/>
      <c r="E17" s="1"/>
      <c r="F17" s="1"/>
    </row>
    <row r="18" customFormat="false" ht="15" hidden="false" customHeight="false" outlineLevel="0" collapsed="false">
      <c r="A18" s="1"/>
      <c r="B18" s="20" t="s">
        <v>224</v>
      </c>
      <c r="C18" s="1"/>
      <c r="D18" s="1"/>
      <c r="E18" s="1"/>
      <c r="F18" s="1"/>
    </row>
    <row r="19" customFormat="false" ht="15" hidden="false" customHeight="false" outlineLevel="0" collapsed="false">
      <c r="A19" s="1"/>
      <c r="B19" s="20" t="s">
        <v>225</v>
      </c>
      <c r="C19" s="1"/>
      <c r="D19" s="1"/>
      <c r="E19" s="1"/>
      <c r="F1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5" min="3" style="0" width="14"/>
    <col collapsed="false" customWidth="true" hidden="false" outlineLevel="0" max="6" min="6" style="0" width="4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1"/>
      <c r="B2" s="22" t="s">
        <v>226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22.35" hidden="false" customHeight="false" outlineLevel="0" collapsed="false">
      <c r="A4" s="1"/>
      <c r="B4" s="47" t="s">
        <v>227</v>
      </c>
      <c r="C4" s="48" t="s">
        <v>63</v>
      </c>
      <c r="D4" s="48"/>
      <c r="E4" s="1"/>
      <c r="F4" s="49" t="s">
        <v>228</v>
      </c>
      <c r="G4" s="50" t="s">
        <v>69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</row>
    <row r="6" customFormat="false" ht="15" hidden="false" customHeight="false" outlineLevel="0" collapsed="false">
      <c r="A6" s="1"/>
      <c r="B6" s="4" t="s">
        <v>48</v>
      </c>
      <c r="C6" s="4" t="s">
        <v>3</v>
      </c>
      <c r="D6" s="4" t="s">
        <v>4</v>
      </c>
      <c r="E6" s="4" t="s">
        <v>5</v>
      </c>
      <c r="F6" s="4" t="s">
        <v>49</v>
      </c>
      <c r="G6" s="4" t="s">
        <v>50</v>
      </c>
    </row>
    <row r="7" customFormat="false" ht="15" hidden="false" customHeight="false" outlineLevel="0" collapsed="false">
      <c r="A7" s="1"/>
      <c r="B7" s="24" t="s">
        <v>229</v>
      </c>
      <c r="C7" s="25"/>
      <c r="D7" s="25"/>
      <c r="E7" s="25"/>
      <c r="F7" s="25"/>
      <c r="G7" s="25"/>
    </row>
    <row r="8" customFormat="false" ht="15" hidden="false" customHeight="false" outlineLevel="0" collapsed="false">
      <c r="A8" s="1"/>
      <c r="B8" s="28" t="s">
        <v>230</v>
      </c>
      <c r="C8" s="6" t="n">
        <f aca="false">Inference!C8</f>
        <v>3</v>
      </c>
      <c r="D8" s="6" t="n">
        <f aca="false">Inference!D8</f>
        <v>4</v>
      </c>
      <c r="E8" s="6" t="n">
        <f aca="false">Inference!E8</f>
        <v>8</v>
      </c>
      <c r="F8" s="30" t="s">
        <v>180</v>
      </c>
      <c r="G8" s="31"/>
    </row>
    <row r="9" customFormat="false" ht="22.35" hidden="false" customHeight="false" outlineLevel="0" collapsed="false">
      <c r="A9" s="1"/>
      <c r="B9" s="28" t="s">
        <v>231</v>
      </c>
      <c r="C9" s="51" t="n">
        <v>3</v>
      </c>
      <c r="D9" s="51" t="n">
        <v>3.5</v>
      </c>
      <c r="E9" s="51" t="n">
        <v>4</v>
      </c>
      <c r="F9" s="30" t="s">
        <v>232</v>
      </c>
      <c r="G9" s="31" t="s">
        <v>233</v>
      </c>
    </row>
    <row r="10" customFormat="false" ht="15" hidden="false" customHeight="false" outlineLevel="0" collapsed="false">
      <c r="A10" s="1"/>
      <c r="B10" s="28" t="s">
        <v>64</v>
      </c>
      <c r="C10" s="6" t="n">
        <f aca="false">Inference!C9</f>
        <v>4</v>
      </c>
      <c r="D10" s="6" t="n">
        <f aca="false">Inference!D9</f>
        <v>5</v>
      </c>
      <c r="E10" s="6" t="n">
        <f aca="false">Inference!E9</f>
        <v>10</v>
      </c>
      <c r="F10" s="30" t="s">
        <v>180</v>
      </c>
      <c r="G10" s="31"/>
    </row>
    <row r="11" customFormat="false" ht="15" hidden="false" customHeight="false" outlineLevel="0" collapsed="false">
      <c r="A11" s="1"/>
      <c r="B11" s="28" t="s">
        <v>234</v>
      </c>
      <c r="C11" s="51" t="n">
        <v>2</v>
      </c>
      <c r="D11" s="51" t="n">
        <v>2</v>
      </c>
      <c r="E11" s="51" t="n">
        <v>2</v>
      </c>
      <c r="F11" s="30" t="s">
        <v>235</v>
      </c>
      <c r="G11" s="31" t="s">
        <v>233</v>
      </c>
    </row>
    <row r="12" customFormat="false" ht="15" hidden="false" customHeight="false" outlineLevel="0" collapsed="false">
      <c r="A12" s="1"/>
      <c r="B12" s="33" t="s">
        <v>236</v>
      </c>
      <c r="C12" s="52" t="n">
        <f aca="false">C8*C9+C10*C11</f>
        <v>17</v>
      </c>
      <c r="D12" s="52" t="n">
        <f aca="false">D8*D9+D10*D11</f>
        <v>24</v>
      </c>
      <c r="E12" s="52" t="n">
        <f aca="false">E8*E9+E10*E11</f>
        <v>52</v>
      </c>
      <c r="F12" s="30" t="s">
        <v>237</v>
      </c>
      <c r="G12" s="31"/>
    </row>
    <row r="13" customFormat="false" ht="15" hidden="false" customHeight="false" outlineLevel="0" collapsed="false">
      <c r="A13" s="1"/>
      <c r="B13" s="28" t="s">
        <v>238</v>
      </c>
      <c r="C13" s="53" t="n">
        <v>50</v>
      </c>
      <c r="D13" s="53" t="n">
        <v>50</v>
      </c>
      <c r="E13" s="53" t="n">
        <v>50</v>
      </c>
      <c r="F13" s="30" t="s">
        <v>69</v>
      </c>
      <c r="G13" s="31" t="s">
        <v>69</v>
      </c>
    </row>
    <row r="14" customFormat="false" ht="15" hidden="false" customHeight="false" outlineLevel="0" collapsed="false">
      <c r="A14" s="1"/>
      <c r="B14" s="28" t="s">
        <v>239</v>
      </c>
      <c r="C14" s="39" t="n">
        <f aca="false">C12*C13</f>
        <v>850</v>
      </c>
      <c r="D14" s="39" t="n">
        <f aca="false">D12*D13</f>
        <v>1200</v>
      </c>
      <c r="E14" s="39" t="n">
        <f aca="false">E12*E13</f>
        <v>2600</v>
      </c>
      <c r="F14" s="30" t="s">
        <v>240</v>
      </c>
      <c r="G14" s="31"/>
    </row>
    <row r="15" customFormat="false" ht="22.35" hidden="false" customHeight="false" outlineLevel="0" collapsed="false">
      <c r="A15" s="1"/>
      <c r="B15" s="28" t="s">
        <v>241</v>
      </c>
      <c r="C15" s="53" t="n">
        <v>5000</v>
      </c>
      <c r="D15" s="53" t="n">
        <v>5000</v>
      </c>
      <c r="E15" s="53" t="n">
        <v>10000</v>
      </c>
      <c r="F15" s="30" t="s">
        <v>242</v>
      </c>
      <c r="G15" s="31" t="s">
        <v>243</v>
      </c>
    </row>
    <row r="16" customFormat="false" ht="15" hidden="false" customHeight="false" outlineLevel="0" collapsed="false">
      <c r="A16" s="1"/>
      <c r="B16" s="28" t="s">
        <v>244</v>
      </c>
      <c r="C16" s="39" t="n">
        <f aca="false">C15/12</f>
        <v>416.666666666667</v>
      </c>
      <c r="D16" s="39" t="n">
        <f aca="false">D15/12</f>
        <v>416.666666666667</v>
      </c>
      <c r="E16" s="39" t="n">
        <f aca="false">E15/12</f>
        <v>833.333333333333</v>
      </c>
      <c r="F16" s="30" t="s">
        <v>245</v>
      </c>
      <c r="G16" s="31"/>
    </row>
    <row r="17" customFormat="false" ht="15" hidden="false" customHeight="false" outlineLevel="0" collapsed="false">
      <c r="A17" s="1"/>
      <c r="B17" s="33" t="s">
        <v>246</v>
      </c>
      <c r="C17" s="38" t="n">
        <f aca="false">C14+C16</f>
        <v>1266.66666666667</v>
      </c>
      <c r="D17" s="38" t="n">
        <f aca="false">D14+D16</f>
        <v>1616.66666666667</v>
      </c>
      <c r="E17" s="38" t="n">
        <f aca="false">E14+E16</f>
        <v>3433.33333333333</v>
      </c>
      <c r="F17" s="30" t="s">
        <v>247</v>
      </c>
      <c r="G17" s="3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24" t="s">
        <v>248</v>
      </c>
      <c r="C19" s="25"/>
      <c r="D19" s="25"/>
      <c r="E19" s="25"/>
      <c r="F19" s="25"/>
      <c r="G19" s="25"/>
    </row>
    <row r="20" customFormat="false" ht="15" hidden="false" customHeight="false" outlineLevel="0" collapsed="false">
      <c r="A20" s="1"/>
      <c r="B20" s="28" t="s">
        <v>249</v>
      </c>
      <c r="C20" s="51" t="n">
        <v>1</v>
      </c>
      <c r="D20" s="51" t="n">
        <v>1</v>
      </c>
      <c r="E20" s="51" t="n">
        <v>1</v>
      </c>
      <c r="F20" s="30" t="s">
        <v>250</v>
      </c>
      <c r="G20" s="31" t="s">
        <v>251</v>
      </c>
    </row>
    <row r="21" customFormat="false" ht="15" hidden="false" customHeight="false" outlineLevel="0" collapsed="false">
      <c r="A21" s="1"/>
      <c r="B21" s="28" t="s">
        <v>252</v>
      </c>
      <c r="C21" s="54" t="n">
        <f aca="false">(C8+C10)*C20</f>
        <v>7</v>
      </c>
      <c r="D21" s="54" t="n">
        <f aca="false">(D8+D10)*D20</f>
        <v>9</v>
      </c>
      <c r="E21" s="54" t="n">
        <f aca="false">(E8+E10)*E20</f>
        <v>18</v>
      </c>
      <c r="F21" s="30" t="s">
        <v>253</v>
      </c>
      <c r="G21" s="31"/>
    </row>
    <row r="22" customFormat="false" ht="15" hidden="false" customHeight="false" outlineLevel="0" collapsed="false">
      <c r="A22" s="1"/>
      <c r="B22" s="28" t="s">
        <v>239</v>
      </c>
      <c r="C22" s="39" t="n">
        <f aca="false">C21*C13</f>
        <v>350</v>
      </c>
      <c r="D22" s="39" t="n">
        <f aca="false">D21*D13</f>
        <v>450</v>
      </c>
      <c r="E22" s="39" t="n">
        <f aca="false">E21*E13</f>
        <v>900</v>
      </c>
      <c r="F22" s="30" t="s">
        <v>240</v>
      </c>
      <c r="G22" s="31"/>
    </row>
    <row r="23" customFormat="false" ht="22.35" hidden="false" customHeight="false" outlineLevel="0" collapsed="false">
      <c r="A23" s="1"/>
      <c r="B23" s="28" t="s">
        <v>254</v>
      </c>
      <c r="C23" s="53" t="n">
        <v>5000</v>
      </c>
      <c r="D23" s="53" t="n">
        <v>5000</v>
      </c>
      <c r="E23" s="53" t="n">
        <v>5000</v>
      </c>
      <c r="F23" s="30" t="s">
        <v>255</v>
      </c>
      <c r="G23" s="31" t="s">
        <v>251</v>
      </c>
    </row>
    <row r="24" customFormat="false" ht="15" hidden="false" customHeight="false" outlineLevel="0" collapsed="false">
      <c r="A24" s="1"/>
      <c r="B24" s="28" t="s">
        <v>244</v>
      </c>
      <c r="C24" s="39" t="n">
        <f aca="false">C23/12</f>
        <v>416.666666666667</v>
      </c>
      <c r="D24" s="39" t="n">
        <f aca="false">D23/12</f>
        <v>416.666666666667</v>
      </c>
      <c r="E24" s="39" t="n">
        <f aca="false">E23/12</f>
        <v>416.666666666667</v>
      </c>
      <c r="F24" s="30" t="s">
        <v>245</v>
      </c>
      <c r="G24" s="31"/>
    </row>
    <row r="25" customFormat="false" ht="22.35" hidden="false" customHeight="false" outlineLevel="0" collapsed="false">
      <c r="A25" s="1"/>
      <c r="B25" s="28" t="s">
        <v>256</v>
      </c>
      <c r="C25" s="9" t="n">
        <f aca="false">INDEX(Inference!$J$35:$L$38,MATCH($C$4,Inference!$I$35:$I$38,0),1)</f>
        <v>0.5348654</v>
      </c>
      <c r="D25" s="9" t="n">
        <f aca="false">INDEX(Inference!$J$35:$L$38,MATCH($C$4,Inference!$I$35:$I$38,0),2)</f>
        <v>1.8110866</v>
      </c>
      <c r="E25" s="9" t="n">
        <f aca="false">INDEX(Inference!$J$35:$L$38,MATCH($C$4,Inference!$I$35:$I$38,0),3)</f>
        <v>9.3674008</v>
      </c>
      <c r="F25" s="30" t="s">
        <v>257</v>
      </c>
      <c r="G25" s="31"/>
    </row>
    <row r="26" customFormat="false" ht="15" hidden="false" customHeight="false" outlineLevel="0" collapsed="false">
      <c r="A26" s="1"/>
      <c r="B26" s="28" t="s">
        <v>258</v>
      </c>
      <c r="C26" s="9" t="n">
        <f aca="false">Embeddings!C21</f>
        <v>0.003439488</v>
      </c>
      <c r="D26" s="9" t="n">
        <f aca="false">Embeddings!D21</f>
        <v>0.022815</v>
      </c>
      <c r="E26" s="9" t="n">
        <f aca="false">Embeddings!E21</f>
        <v>0.12337</v>
      </c>
      <c r="F26" s="30" t="s">
        <v>259</v>
      </c>
      <c r="G26" s="31"/>
    </row>
    <row r="27" customFormat="false" ht="15" hidden="false" customHeight="false" outlineLevel="0" collapsed="false">
      <c r="A27" s="1"/>
      <c r="B27" s="28" t="s">
        <v>260</v>
      </c>
      <c r="C27" s="9" t="n">
        <f aca="false">Infrastructure!$D$12</f>
        <v>52</v>
      </c>
      <c r="D27" s="9" t="n">
        <f aca="false">Infrastructure!$D$12</f>
        <v>52</v>
      </c>
      <c r="E27" s="9" t="n">
        <f aca="false">Infrastructure!$D$12</f>
        <v>52</v>
      </c>
      <c r="F27" s="30" t="s">
        <v>261</v>
      </c>
      <c r="G27" s="31"/>
    </row>
    <row r="28" customFormat="false" ht="15" hidden="false" customHeight="false" outlineLevel="0" collapsed="false">
      <c r="A28" s="1"/>
      <c r="B28" s="33" t="s">
        <v>262</v>
      </c>
      <c r="C28" s="38" t="n">
        <f aca="false">C25+C26+C27</f>
        <v>52.538304888</v>
      </c>
      <c r="D28" s="38" t="n">
        <f aca="false">D25+D26+D27</f>
        <v>53.8339016</v>
      </c>
      <c r="E28" s="38" t="n">
        <f aca="false">E25+E26+E27</f>
        <v>61.4907708</v>
      </c>
      <c r="F28" s="30" t="s">
        <v>263</v>
      </c>
      <c r="G28" s="31"/>
    </row>
    <row r="29" customFormat="false" ht="15" hidden="false" customHeight="false" outlineLevel="0" collapsed="false">
      <c r="A29" s="1"/>
      <c r="B29" s="33" t="s">
        <v>264</v>
      </c>
      <c r="C29" s="38" t="n">
        <f aca="false">C22+C24+C28</f>
        <v>819.204971554667</v>
      </c>
      <c r="D29" s="38" t="n">
        <f aca="false">D22+D24+D28</f>
        <v>920.500568266667</v>
      </c>
      <c r="E29" s="38" t="n">
        <f aca="false">E22+E24+E28</f>
        <v>1378.15743746667</v>
      </c>
      <c r="F29" s="30" t="s">
        <v>265</v>
      </c>
      <c r="G29" s="3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24" t="s">
        <v>266</v>
      </c>
      <c r="C31" s="25"/>
      <c r="D31" s="25"/>
      <c r="E31" s="25"/>
      <c r="F31" s="25"/>
      <c r="G31" s="25"/>
    </row>
    <row r="32" customFormat="false" ht="15" hidden="false" customHeight="false" outlineLevel="0" collapsed="false">
      <c r="A32" s="1"/>
      <c r="B32" s="33" t="s">
        <v>26</v>
      </c>
      <c r="C32" s="52" t="n">
        <f aca="false">C12-C21</f>
        <v>10</v>
      </c>
      <c r="D32" s="52" t="n">
        <f aca="false">D12-D21</f>
        <v>15</v>
      </c>
      <c r="E32" s="52" t="n">
        <f aca="false">E12-E21</f>
        <v>34</v>
      </c>
      <c r="F32" s="30" t="s">
        <v>267</v>
      </c>
      <c r="G32" s="31"/>
    </row>
    <row r="33" customFormat="false" ht="15" hidden="false" customHeight="false" outlineLevel="0" collapsed="false">
      <c r="A33" s="1"/>
      <c r="B33" s="33" t="s">
        <v>268</v>
      </c>
      <c r="C33" s="38" t="n">
        <f aca="false">C17-C29</f>
        <v>447.461695112</v>
      </c>
      <c r="D33" s="38" t="n">
        <f aca="false">D17-D29</f>
        <v>696.1660984</v>
      </c>
      <c r="E33" s="38" t="n">
        <f aca="false">E17-E29</f>
        <v>2055.17589586667</v>
      </c>
      <c r="F33" s="30" t="s">
        <v>269</v>
      </c>
      <c r="G33" s="31"/>
    </row>
    <row r="34" customFormat="false" ht="15" hidden="false" customHeight="false" outlineLevel="0" collapsed="false">
      <c r="A34" s="1"/>
      <c r="B34" s="33" t="s">
        <v>32</v>
      </c>
      <c r="C34" s="55" t="n">
        <f aca="false">IFERROR(C33/C17,0)</f>
        <v>0.353259232983158</v>
      </c>
      <c r="D34" s="55" t="n">
        <f aca="false">IFERROR(D33/D17,0)</f>
        <v>0.430618205195876</v>
      </c>
      <c r="E34" s="55" t="n">
        <f aca="false">IFERROR(E33/E17,0)</f>
        <v>0.598594921126214</v>
      </c>
      <c r="F34" s="30" t="s">
        <v>270</v>
      </c>
      <c r="G34" s="31"/>
    </row>
    <row r="35" customFormat="false" ht="15" hidden="false" customHeight="false" outlineLevel="0" collapsed="false">
      <c r="A35" s="1"/>
      <c r="B35" s="28" t="s">
        <v>271</v>
      </c>
      <c r="C35" s="56" t="n">
        <f aca="false">IFERROR(C33/C28,0)</f>
        <v>8.5168658575089</v>
      </c>
      <c r="D35" s="56" t="n">
        <f aca="false">IFERROR(D33/D28,0)</f>
        <v>12.931741480911</v>
      </c>
      <c r="E35" s="56" t="n">
        <f aca="false">IFERROR(E33/E28,0)</f>
        <v>33.4225099007324</v>
      </c>
      <c r="F35" s="30" t="s">
        <v>272</v>
      </c>
      <c r="G35" s="3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24" t="s">
        <v>273</v>
      </c>
      <c r="C37" s="25"/>
      <c r="D37" s="25"/>
      <c r="E37" s="25"/>
      <c r="F37" s="25"/>
      <c r="G37" s="25"/>
    </row>
    <row r="38" customFormat="false" ht="32.8" hidden="false" customHeight="false" outlineLevel="0" collapsed="false">
      <c r="A38" s="1"/>
      <c r="B38" s="28" t="s">
        <v>274</v>
      </c>
      <c r="C38" s="53" t="n">
        <v>23200</v>
      </c>
      <c r="D38" s="53" t="n">
        <v>23200</v>
      </c>
      <c r="E38" s="53" t="n">
        <v>23200</v>
      </c>
      <c r="F38" s="30" t="s">
        <v>275</v>
      </c>
      <c r="G38" s="31" t="s">
        <v>276</v>
      </c>
    </row>
    <row r="39" customFormat="false" ht="15" hidden="false" customHeight="false" outlineLevel="0" collapsed="false">
      <c r="A39" s="1"/>
      <c r="B39" s="28" t="s">
        <v>277</v>
      </c>
      <c r="C39" s="36" t="n">
        <f aca="false">IFERROR(C38/C28,0)</f>
        <v>441.582575788413</v>
      </c>
      <c r="D39" s="36" t="n">
        <f aca="false">IFERROR(D38/D28,0)</f>
        <v>430.955203142846</v>
      </c>
      <c r="E39" s="36" t="n">
        <f aca="false">IFERROR(E38/E28,0)</f>
        <v>377.292391982831</v>
      </c>
      <c r="F39" s="30" t="s">
        <v>278</v>
      </c>
      <c r="G39" s="31"/>
    </row>
  </sheetData>
  <mergeCells count="1">
    <mergeCell ref="C4:D4"/>
  </mergeCells>
  <dataValidations count="1">
    <dataValidation allowBlank="false" errorStyle="stop" operator="between" showDropDown="false" showErrorMessage="false" showInputMessage="false" sqref="C4" type="list">
      <formula1>Inference!$I$6:$I$9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6" min="4" style="0" width="12"/>
    <col collapsed="false" customWidth="true" hidden="false" outlineLevel="0" max="7" min="7" style="0" width="52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7.35" hidden="false" customHeight="false" outlineLevel="0" collapsed="false">
      <c r="A2" s="1"/>
      <c r="B2" s="22" t="s">
        <v>279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/>
      <c r="B4" s="4" t="s">
        <v>280</v>
      </c>
      <c r="C4" s="4" t="s">
        <v>281</v>
      </c>
      <c r="D4" s="4" t="s">
        <v>3</v>
      </c>
      <c r="E4" s="4" t="s">
        <v>4</v>
      </c>
      <c r="F4" s="4" t="s">
        <v>5</v>
      </c>
      <c r="G4" s="4" t="s">
        <v>282</v>
      </c>
      <c r="H4" s="4" t="s">
        <v>50</v>
      </c>
    </row>
    <row r="5" customFormat="false" ht="15" hidden="false" customHeight="false" outlineLevel="0" collapsed="false">
      <c r="A5" s="1"/>
      <c r="B5" s="28" t="n">
        <v>1</v>
      </c>
      <c r="C5" s="28" t="s">
        <v>283</v>
      </c>
      <c r="D5" s="57" t="n">
        <f aca="false">Inference!C7</f>
        <v>1.3</v>
      </c>
      <c r="E5" s="57" t="n">
        <f aca="false">Inference!D7</f>
        <v>1.3</v>
      </c>
      <c r="F5" s="57" t="n">
        <f aca="false">Inference!E7</f>
        <v>1.3</v>
      </c>
      <c r="G5" s="30" t="s">
        <v>57</v>
      </c>
      <c r="H5" s="31" t="s">
        <v>58</v>
      </c>
    </row>
    <row r="6" customFormat="false" ht="22.35" hidden="false" customHeight="false" outlineLevel="0" collapsed="false">
      <c r="A6" s="1"/>
      <c r="B6" s="28" t="n">
        <v>2</v>
      </c>
      <c r="C6" s="28" t="s">
        <v>284</v>
      </c>
      <c r="D6" s="57" t="n">
        <f aca="false">Inference!C8</f>
        <v>3</v>
      </c>
      <c r="E6" s="57" t="n">
        <f aca="false">Inference!D8</f>
        <v>4</v>
      </c>
      <c r="F6" s="57" t="n">
        <f aca="false">Inference!E8</f>
        <v>8</v>
      </c>
      <c r="G6" s="30" t="s">
        <v>61</v>
      </c>
      <c r="H6" s="31" t="s">
        <v>62</v>
      </c>
    </row>
    <row r="7" customFormat="false" ht="15" hidden="false" customHeight="false" outlineLevel="0" collapsed="false">
      <c r="A7" s="1"/>
      <c r="B7" s="28" t="n">
        <v>3</v>
      </c>
      <c r="C7" s="28" t="s">
        <v>285</v>
      </c>
      <c r="D7" s="57" t="n">
        <f aca="false">Inference!C9</f>
        <v>4</v>
      </c>
      <c r="E7" s="57" t="n">
        <f aca="false">Inference!D9</f>
        <v>5</v>
      </c>
      <c r="F7" s="57" t="n">
        <f aca="false">Inference!E9</f>
        <v>10</v>
      </c>
      <c r="G7" s="30" t="s">
        <v>65</v>
      </c>
      <c r="H7" s="31" t="s">
        <v>62</v>
      </c>
    </row>
    <row r="8" customFormat="false" ht="23.85" hidden="false" customHeight="false" outlineLevel="0" collapsed="false">
      <c r="A8" s="1"/>
      <c r="B8" s="28" t="n">
        <v>4</v>
      </c>
      <c r="C8" s="28" t="s">
        <v>286</v>
      </c>
      <c r="D8" s="57" t="n">
        <f aca="false">Inference!C10</f>
        <v>1</v>
      </c>
      <c r="E8" s="57" t="n">
        <f aca="false">Inference!D10</f>
        <v>2</v>
      </c>
      <c r="F8" s="57" t="n">
        <f aca="false">Inference!E10</f>
        <v>3</v>
      </c>
      <c r="G8" s="30" t="s">
        <v>68</v>
      </c>
      <c r="H8" s="31" t="s">
        <v>69</v>
      </c>
    </row>
    <row r="9" customFormat="false" ht="22.35" hidden="false" customHeight="false" outlineLevel="0" collapsed="false">
      <c r="A9" s="1"/>
      <c r="B9" s="28" t="n">
        <v>5</v>
      </c>
      <c r="C9" s="28" t="s">
        <v>287</v>
      </c>
      <c r="D9" s="57" t="n">
        <f aca="false">Inference!C11</f>
        <v>1</v>
      </c>
      <c r="E9" s="57" t="n">
        <f aca="false">Inference!D11</f>
        <v>1</v>
      </c>
      <c r="F9" s="57" t="n">
        <f aca="false">Inference!E11</f>
        <v>2</v>
      </c>
      <c r="G9" s="30" t="s">
        <v>72</v>
      </c>
      <c r="H9" s="31" t="s">
        <v>69</v>
      </c>
    </row>
    <row r="10" customFormat="false" ht="32.8" hidden="false" customHeight="false" outlineLevel="0" collapsed="false">
      <c r="A10" s="1"/>
      <c r="B10" s="28" t="n">
        <v>6</v>
      </c>
      <c r="C10" s="28" t="s">
        <v>288</v>
      </c>
      <c r="D10" s="57" t="n">
        <f aca="false">Inference!C17</f>
        <v>2132</v>
      </c>
      <c r="E10" s="57" t="n">
        <f aca="false">Inference!D17</f>
        <v>10000</v>
      </c>
      <c r="F10" s="57" t="n">
        <f aca="false">Inference!E17</f>
        <v>20000</v>
      </c>
      <c r="G10" s="30" t="s">
        <v>82</v>
      </c>
      <c r="H10" s="31" t="s">
        <v>83</v>
      </c>
    </row>
    <row r="11" customFormat="false" ht="32.8" hidden="false" customHeight="false" outlineLevel="0" collapsed="false">
      <c r="A11" s="1"/>
      <c r="B11" s="28" t="n">
        <v>7</v>
      </c>
      <c r="C11" s="28" t="s">
        <v>289</v>
      </c>
      <c r="D11" s="57" t="n">
        <f aca="false">Inference!C19</f>
        <v>4</v>
      </c>
      <c r="E11" s="57" t="n">
        <f aca="false">Inference!D19</f>
        <v>4</v>
      </c>
      <c r="F11" s="57" t="n">
        <f aca="false">Inference!E19</f>
        <v>4</v>
      </c>
      <c r="G11" s="30" t="s">
        <v>87</v>
      </c>
      <c r="H11" s="31" t="s">
        <v>69</v>
      </c>
    </row>
    <row r="12" customFormat="false" ht="22.35" hidden="false" customHeight="false" outlineLevel="0" collapsed="false">
      <c r="A12" s="1"/>
      <c r="B12" s="28" t="n">
        <v>8</v>
      </c>
      <c r="C12" s="28" t="s">
        <v>290</v>
      </c>
      <c r="D12" s="57" t="n">
        <f aca="false">Inference!C20</f>
        <v>800</v>
      </c>
      <c r="E12" s="57" t="n">
        <f aca="false">Inference!D20</f>
        <v>800</v>
      </c>
      <c r="F12" s="57" t="n">
        <f aca="false">Inference!E20</f>
        <v>800</v>
      </c>
      <c r="G12" s="30" t="s">
        <v>90</v>
      </c>
      <c r="H12" s="31" t="s">
        <v>69</v>
      </c>
    </row>
    <row r="13" customFormat="false" ht="15" hidden="false" customHeight="false" outlineLevel="0" collapsed="false">
      <c r="A13" s="1"/>
      <c r="B13" s="28" t="n">
        <v>9</v>
      </c>
      <c r="C13" s="28" t="s">
        <v>291</v>
      </c>
      <c r="D13" s="57" t="n">
        <f aca="false">Inference!C21</f>
        <v>100</v>
      </c>
      <c r="E13" s="57" t="n">
        <f aca="false">Inference!D21</f>
        <v>100</v>
      </c>
      <c r="F13" s="57" t="n">
        <f aca="false">Inference!E21</f>
        <v>100</v>
      </c>
      <c r="G13" s="30" t="s">
        <v>92</v>
      </c>
      <c r="H13" s="31" t="s">
        <v>69</v>
      </c>
    </row>
    <row r="14" customFormat="false" ht="23.85" hidden="false" customHeight="false" outlineLevel="0" collapsed="false">
      <c r="A14" s="1"/>
      <c r="B14" s="28" t="n">
        <v>10</v>
      </c>
      <c r="C14" s="28" t="s">
        <v>292</v>
      </c>
      <c r="D14" s="57" t="n">
        <f aca="false">Inference!C22</f>
        <v>1469</v>
      </c>
      <c r="E14" s="57" t="n">
        <f aca="false">Inference!D22</f>
        <v>1469</v>
      </c>
      <c r="F14" s="57" t="n">
        <f aca="false">Inference!E22</f>
        <v>1469</v>
      </c>
      <c r="G14" s="30" t="s">
        <v>94</v>
      </c>
      <c r="H14" s="31" t="s">
        <v>95</v>
      </c>
    </row>
    <row r="15" customFormat="false" ht="15" hidden="false" customHeight="false" outlineLevel="0" collapsed="false">
      <c r="A15" s="1"/>
      <c r="B15" s="28" t="n">
        <v>11</v>
      </c>
      <c r="C15" s="28" t="s">
        <v>293</v>
      </c>
      <c r="D15" s="57" t="n">
        <f aca="false">Inference!C23</f>
        <v>300</v>
      </c>
      <c r="E15" s="57" t="n">
        <f aca="false">Inference!D23</f>
        <v>300</v>
      </c>
      <c r="F15" s="57" t="n">
        <f aca="false">Inference!E23</f>
        <v>300</v>
      </c>
      <c r="G15" s="30" t="s">
        <v>97</v>
      </c>
      <c r="H15" s="31" t="s">
        <v>69</v>
      </c>
    </row>
    <row r="16" customFormat="false" ht="15" hidden="false" customHeight="false" outlineLevel="0" collapsed="false">
      <c r="A16" s="1"/>
      <c r="B16" s="28" t="n">
        <v>12</v>
      </c>
      <c r="C16" s="28" t="s">
        <v>294</v>
      </c>
      <c r="D16" s="57" t="n">
        <f aca="false">Inference!C24</f>
        <v>3</v>
      </c>
      <c r="E16" s="57" t="n">
        <f aca="false">Inference!D24</f>
        <v>3</v>
      </c>
      <c r="F16" s="57" t="n">
        <f aca="false">Inference!E24</f>
        <v>3</v>
      </c>
      <c r="G16" s="30" t="s">
        <v>99</v>
      </c>
      <c r="H16" s="31" t="s">
        <v>58</v>
      </c>
    </row>
    <row r="17" customFormat="false" ht="23.85" hidden="false" customHeight="false" outlineLevel="0" collapsed="false">
      <c r="A17" s="1"/>
      <c r="B17" s="28" t="n">
        <v>13</v>
      </c>
      <c r="C17" s="28" t="s">
        <v>295</v>
      </c>
      <c r="D17" s="57" t="n">
        <f aca="false">Inference!C25</f>
        <v>150</v>
      </c>
      <c r="E17" s="57" t="n">
        <f aca="false">Inference!D25</f>
        <v>150</v>
      </c>
      <c r="F17" s="57" t="n">
        <f aca="false">Inference!E25</f>
        <v>150</v>
      </c>
      <c r="G17" s="30" t="s">
        <v>101</v>
      </c>
      <c r="H17" s="31" t="s">
        <v>69</v>
      </c>
    </row>
    <row r="18" customFormat="false" ht="22.35" hidden="false" customHeight="false" outlineLevel="0" collapsed="false">
      <c r="A18" s="1"/>
      <c r="B18" s="28" t="n">
        <v>14</v>
      </c>
      <c r="C18" s="28" t="s">
        <v>296</v>
      </c>
      <c r="D18" s="57" t="n">
        <f aca="false">Inference!C26</f>
        <v>10</v>
      </c>
      <c r="E18" s="57" t="n">
        <f aca="false">Inference!D26</f>
        <v>10</v>
      </c>
      <c r="F18" s="57" t="n">
        <f aca="false">Inference!E26</f>
        <v>10</v>
      </c>
      <c r="G18" s="30" t="s">
        <v>103</v>
      </c>
      <c r="H18" s="31" t="s">
        <v>69</v>
      </c>
    </row>
    <row r="19" customFormat="false" ht="23.85" hidden="false" customHeight="false" outlineLevel="0" collapsed="false">
      <c r="A19" s="1"/>
      <c r="B19" s="28" t="n">
        <v>15</v>
      </c>
      <c r="C19" s="28" t="s">
        <v>297</v>
      </c>
      <c r="D19" s="57" t="n">
        <f aca="false">Inference!C27</f>
        <v>600</v>
      </c>
      <c r="E19" s="57" t="n">
        <f aca="false">Inference!D27</f>
        <v>600</v>
      </c>
      <c r="F19" s="57" t="n">
        <f aca="false">Inference!E27</f>
        <v>600</v>
      </c>
      <c r="G19" s="30" t="s">
        <v>106</v>
      </c>
      <c r="H19" s="31" t="s">
        <v>58</v>
      </c>
    </row>
    <row r="20" customFormat="false" ht="23.85" hidden="false" customHeight="false" outlineLevel="0" collapsed="false">
      <c r="A20" s="1"/>
      <c r="B20" s="28" t="n">
        <v>16</v>
      </c>
      <c r="C20" s="28" t="s">
        <v>298</v>
      </c>
      <c r="D20" s="57" t="n">
        <f aca="false">Inference!C28</f>
        <v>5</v>
      </c>
      <c r="E20" s="57" t="n">
        <f aca="false">Inference!D28</f>
        <v>5</v>
      </c>
      <c r="F20" s="57" t="n">
        <f aca="false">Inference!E28</f>
        <v>5</v>
      </c>
      <c r="G20" s="30" t="s">
        <v>108</v>
      </c>
      <c r="H20" s="31" t="s">
        <v>69</v>
      </c>
    </row>
    <row r="21" customFormat="false" ht="15" hidden="false" customHeight="false" outlineLevel="0" collapsed="false">
      <c r="A21" s="1"/>
      <c r="B21" s="28" t="n">
        <v>17</v>
      </c>
      <c r="C21" s="28" t="s">
        <v>299</v>
      </c>
      <c r="D21" s="57" t="n">
        <f aca="false">Inference!C29</f>
        <v>288</v>
      </c>
      <c r="E21" s="57" t="n">
        <f aca="false">Inference!D29</f>
        <v>288</v>
      </c>
      <c r="F21" s="57" t="n">
        <f aca="false">Inference!E29</f>
        <v>288</v>
      </c>
      <c r="G21" s="30" t="s">
        <v>110</v>
      </c>
      <c r="H21" s="31" t="s">
        <v>95</v>
      </c>
    </row>
    <row r="22" customFormat="false" ht="15" hidden="false" customHeight="false" outlineLevel="0" collapsed="false">
      <c r="A22" s="1"/>
      <c r="B22" s="28" t="n">
        <v>18</v>
      </c>
      <c r="C22" s="28" t="s">
        <v>300</v>
      </c>
      <c r="D22" s="57" t="n">
        <f aca="false">Inference!C30</f>
        <v>1000</v>
      </c>
      <c r="E22" s="57" t="n">
        <f aca="false">Inference!D30</f>
        <v>1000</v>
      </c>
      <c r="F22" s="57" t="n">
        <f aca="false">Inference!E30</f>
        <v>1000</v>
      </c>
      <c r="G22" s="30" t="s">
        <v>112</v>
      </c>
      <c r="H22" s="31" t="s">
        <v>69</v>
      </c>
    </row>
    <row r="23" customFormat="false" ht="15" hidden="false" customHeight="false" outlineLevel="0" collapsed="false">
      <c r="A23" s="1"/>
      <c r="B23" s="28" t="n">
        <v>19</v>
      </c>
      <c r="C23" s="28" t="s">
        <v>301</v>
      </c>
      <c r="D23" s="57" t="n">
        <f aca="false">Inference!C38</f>
        <v>1000</v>
      </c>
      <c r="E23" s="57" t="n">
        <f aca="false">Inference!D38</f>
        <v>1500</v>
      </c>
      <c r="F23" s="57" t="n">
        <f aca="false">Inference!E38</f>
        <v>2500</v>
      </c>
      <c r="G23" s="30" t="s">
        <v>128</v>
      </c>
      <c r="H23" s="31" t="s">
        <v>69</v>
      </c>
    </row>
    <row r="24" customFormat="false" ht="22.35" hidden="false" customHeight="false" outlineLevel="0" collapsed="false">
      <c r="A24" s="1"/>
      <c r="B24" s="28" t="n">
        <v>20</v>
      </c>
      <c r="C24" s="28" t="s">
        <v>302</v>
      </c>
      <c r="D24" s="57" t="n">
        <f aca="false">Inference!C39</f>
        <v>800</v>
      </c>
      <c r="E24" s="57" t="n">
        <f aca="false">Inference!D39</f>
        <v>800</v>
      </c>
      <c r="F24" s="57" t="n">
        <f aca="false">Inference!E39</f>
        <v>1200</v>
      </c>
      <c r="G24" s="30" t="s">
        <v>130</v>
      </c>
      <c r="H24" s="31" t="s">
        <v>69</v>
      </c>
    </row>
    <row r="25" customFormat="false" ht="15" hidden="false" customHeight="false" outlineLevel="0" collapsed="false">
      <c r="A25" s="1"/>
      <c r="B25" s="28" t="n">
        <v>21</v>
      </c>
      <c r="C25" s="28" t="s">
        <v>303</v>
      </c>
      <c r="D25" s="57" t="n">
        <f aca="false">Inference!C40</f>
        <v>600</v>
      </c>
      <c r="E25" s="57" t="n">
        <f aca="false">Inference!D40</f>
        <v>600</v>
      </c>
      <c r="F25" s="57" t="n">
        <f aca="false">Inference!E40</f>
        <v>1000</v>
      </c>
      <c r="G25" s="30" t="s">
        <v>133</v>
      </c>
      <c r="H25" s="31" t="s">
        <v>69</v>
      </c>
    </row>
    <row r="26" customFormat="false" ht="15" hidden="false" customHeight="false" outlineLevel="0" collapsed="false">
      <c r="A26" s="1"/>
      <c r="B26" s="28" t="n">
        <v>22</v>
      </c>
      <c r="C26" s="28" t="s">
        <v>304</v>
      </c>
      <c r="D26" s="57" t="n">
        <f aca="false">Inference!C41</f>
        <v>600</v>
      </c>
      <c r="E26" s="57" t="n">
        <f aca="false">Inference!D41</f>
        <v>600</v>
      </c>
      <c r="F26" s="57" t="n">
        <f aca="false">Inference!E41</f>
        <v>1000</v>
      </c>
      <c r="G26" s="30" t="s">
        <v>135</v>
      </c>
      <c r="H26" s="31" t="s">
        <v>69</v>
      </c>
    </row>
    <row r="27" customFormat="false" ht="22.35" hidden="false" customHeight="false" outlineLevel="0" collapsed="false">
      <c r="A27" s="1"/>
      <c r="B27" s="28" t="n">
        <v>23</v>
      </c>
      <c r="C27" s="28" t="s">
        <v>305</v>
      </c>
      <c r="D27" s="57" t="n">
        <f aca="false">Inference!C48</f>
        <v>945</v>
      </c>
      <c r="E27" s="57" t="n">
        <f aca="false">Inference!D48</f>
        <v>1500</v>
      </c>
      <c r="F27" s="57" t="n">
        <f aca="false">Inference!E48</f>
        <v>3000</v>
      </c>
      <c r="G27" s="30" t="s">
        <v>147</v>
      </c>
      <c r="H27" s="31" t="s">
        <v>148</v>
      </c>
    </row>
    <row r="28" customFormat="false" ht="15" hidden="false" customHeight="false" outlineLevel="0" collapsed="false">
      <c r="A28" s="1"/>
      <c r="B28" s="28" t="n">
        <v>24</v>
      </c>
      <c r="C28" s="28" t="s">
        <v>306</v>
      </c>
      <c r="D28" s="57" t="n">
        <f aca="false">Inference!C53</f>
        <v>1800</v>
      </c>
      <c r="E28" s="57" t="n">
        <f aca="false">Inference!D53</f>
        <v>1800</v>
      </c>
      <c r="F28" s="57" t="n">
        <f aca="false">Inference!E53</f>
        <v>2800</v>
      </c>
      <c r="G28" s="30" t="s">
        <v>159</v>
      </c>
      <c r="H28" s="31" t="s">
        <v>69</v>
      </c>
    </row>
    <row r="29" customFormat="false" ht="23.85" hidden="false" customHeight="false" outlineLevel="0" collapsed="false">
      <c r="A29" s="1"/>
      <c r="B29" s="28" t="n">
        <v>25</v>
      </c>
      <c r="C29" s="28" t="s">
        <v>307</v>
      </c>
      <c r="D29" s="57" t="n">
        <f aca="false">Inference!C60</f>
        <v>800</v>
      </c>
      <c r="E29" s="57" t="n">
        <f aca="false">Inference!D60</f>
        <v>800</v>
      </c>
      <c r="F29" s="57" t="n">
        <f aca="false">Inference!E60</f>
        <v>1200</v>
      </c>
      <c r="G29" s="30" t="s">
        <v>168</v>
      </c>
      <c r="H29" s="31" t="s">
        <v>69</v>
      </c>
    </row>
    <row r="30" customFormat="false" ht="15" hidden="false" customHeight="false" outlineLevel="0" collapsed="false">
      <c r="A30" s="1"/>
      <c r="B30" s="28" t="n">
        <v>26</v>
      </c>
      <c r="C30" s="28" t="s">
        <v>308</v>
      </c>
      <c r="D30" s="57" t="n">
        <f aca="false">Inference!C64</f>
        <v>17</v>
      </c>
      <c r="E30" s="57" t="n">
        <f aca="false">Inference!D64</f>
        <v>17</v>
      </c>
      <c r="F30" s="57" t="n">
        <f aca="false">Inference!E64</f>
        <v>17</v>
      </c>
      <c r="G30" s="30" t="s">
        <v>172</v>
      </c>
      <c r="H30" s="31" t="s">
        <v>95</v>
      </c>
    </row>
    <row r="31" customFormat="false" ht="22.35" hidden="false" customHeight="false" outlineLevel="0" collapsed="false">
      <c r="A31" s="1"/>
      <c r="B31" s="28" t="n">
        <v>27</v>
      </c>
      <c r="C31" s="28" t="s">
        <v>309</v>
      </c>
      <c r="D31" s="57" t="n">
        <f aca="false">Inference!C65</f>
        <v>1364</v>
      </c>
      <c r="E31" s="57" t="n">
        <f aca="false">Inference!D65</f>
        <v>5277.77777777778</v>
      </c>
      <c r="F31" s="57" t="n">
        <f aca="false">Inference!E65</f>
        <v>10555.5555555556</v>
      </c>
      <c r="G31" s="30" t="s">
        <v>174</v>
      </c>
      <c r="H31" s="31" t="s">
        <v>95</v>
      </c>
    </row>
    <row r="32" customFormat="false" ht="32.8" hidden="false" customHeight="false" outlineLevel="0" collapsed="false">
      <c r="A32" s="1"/>
      <c r="B32" s="28" t="n">
        <v>28</v>
      </c>
      <c r="C32" s="28" t="s">
        <v>310</v>
      </c>
      <c r="D32" s="57" t="n">
        <f aca="false">Embeddings!C6</f>
        <v>0.13</v>
      </c>
      <c r="E32" s="57" t="n">
        <f aca="false">Embeddings!D6</f>
        <v>0.13</v>
      </c>
      <c r="F32" s="57" t="n">
        <f aca="false">Embeddings!E6</f>
        <v>0.13</v>
      </c>
      <c r="G32" s="30" t="s">
        <v>182</v>
      </c>
      <c r="H32" s="31" t="s">
        <v>58</v>
      </c>
    </row>
    <row r="33" customFormat="false" ht="22.35" hidden="false" customHeight="false" outlineLevel="0" collapsed="false">
      <c r="A33" s="1"/>
      <c r="B33" s="28" t="n">
        <v>29</v>
      </c>
      <c r="C33" s="28" t="s">
        <v>311</v>
      </c>
      <c r="D33" s="57" t="n">
        <f aca="false">Embeddings!C11</f>
        <v>991</v>
      </c>
      <c r="E33" s="57" t="n">
        <f aca="false">Embeddings!D11</f>
        <v>991</v>
      </c>
      <c r="F33" s="57" t="n">
        <f aca="false">Embeddings!E11</f>
        <v>991</v>
      </c>
      <c r="G33" s="30" t="s">
        <v>188</v>
      </c>
      <c r="H33" s="31" t="s">
        <v>95</v>
      </c>
    </row>
    <row r="34" customFormat="false" ht="22.35" hidden="false" customHeight="false" outlineLevel="0" collapsed="false">
      <c r="A34" s="1"/>
      <c r="B34" s="28" t="n">
        <v>30</v>
      </c>
      <c r="C34" s="28" t="s">
        <v>312</v>
      </c>
      <c r="D34" s="57" t="n">
        <f aca="false">Infrastructure!C6</f>
        <v>0</v>
      </c>
      <c r="E34" s="57" t="n">
        <f aca="false">Infrastructure!D6</f>
        <v>20</v>
      </c>
      <c r="F34" s="57"/>
      <c r="G34" s="30" t="s">
        <v>208</v>
      </c>
      <c r="H34" s="31" t="s">
        <v>69</v>
      </c>
    </row>
    <row r="35" customFormat="false" ht="23.85" hidden="false" customHeight="false" outlineLevel="0" collapsed="false">
      <c r="A35" s="1"/>
      <c r="B35" s="28" t="n">
        <v>31</v>
      </c>
      <c r="C35" s="28" t="s">
        <v>313</v>
      </c>
      <c r="D35" s="57" t="n">
        <f aca="false">Infrastructure!C7</f>
        <v>0</v>
      </c>
      <c r="E35" s="57" t="n">
        <f aca="false">Infrastructure!D7</f>
        <v>25</v>
      </c>
      <c r="F35" s="57"/>
      <c r="G35" s="30" t="s">
        <v>210</v>
      </c>
      <c r="H35" s="31" t="s">
        <v>69</v>
      </c>
    </row>
    <row r="36" customFormat="false" ht="23.85" hidden="false" customHeight="false" outlineLevel="0" collapsed="false">
      <c r="A36" s="1"/>
      <c r="B36" s="28" t="n">
        <v>32</v>
      </c>
      <c r="C36" s="28" t="s">
        <v>314</v>
      </c>
      <c r="D36" s="57" t="n">
        <f aca="false">Infrastructure!C8</f>
        <v>0</v>
      </c>
      <c r="E36" s="57" t="n">
        <f aca="false">Infrastructure!D8</f>
        <v>7</v>
      </c>
      <c r="F36" s="57"/>
      <c r="G36" s="30" t="s">
        <v>212</v>
      </c>
      <c r="H36" s="31" t="s">
        <v>69</v>
      </c>
    </row>
    <row r="37" customFormat="false" ht="15" hidden="false" customHeight="false" outlineLevel="0" collapsed="false">
      <c r="A37" s="1"/>
      <c r="B37" s="28" t="n">
        <v>33</v>
      </c>
      <c r="C37" s="28" t="s">
        <v>315</v>
      </c>
      <c r="D37" s="57" t="n">
        <f aca="false">Infrastructure!C9</f>
        <v>0</v>
      </c>
      <c r="E37" s="57" t="n">
        <f aca="false">Infrastructure!D9</f>
        <v>0</v>
      </c>
      <c r="F37" s="57"/>
      <c r="G37" s="30" t="s">
        <v>214</v>
      </c>
      <c r="H37" s="31" t="s">
        <v>69</v>
      </c>
    </row>
    <row r="38" customFormat="false" ht="23.85" hidden="false" customHeight="false" outlineLevel="0" collapsed="false">
      <c r="A38" s="1"/>
      <c r="B38" s="28" t="n">
        <v>34</v>
      </c>
      <c r="C38" s="28" t="s">
        <v>316</v>
      </c>
      <c r="D38" s="57" t="n">
        <f aca="false">Infrastructure!C10</f>
        <v>0</v>
      </c>
      <c r="E38" s="57" t="n">
        <f aca="false">Infrastructure!D10</f>
        <v>0</v>
      </c>
      <c r="F38" s="57"/>
      <c r="G38" s="30" t="s">
        <v>216</v>
      </c>
      <c r="H38" s="31" t="s">
        <v>69</v>
      </c>
    </row>
    <row r="39" customFormat="false" ht="23.85" hidden="false" customHeight="false" outlineLevel="0" collapsed="false">
      <c r="A39" s="1"/>
      <c r="B39" s="28" t="n">
        <v>35</v>
      </c>
      <c r="C39" s="28" t="s">
        <v>317</v>
      </c>
      <c r="D39" s="57" t="n">
        <f aca="false">Infrastructure!C11</f>
        <v>0</v>
      </c>
      <c r="E39" s="57" t="n">
        <f aca="false">Infrastructure!D11</f>
        <v>0</v>
      </c>
      <c r="F39" s="57"/>
      <c r="G39" s="30" t="s">
        <v>218</v>
      </c>
      <c r="H39" s="31" t="s">
        <v>69</v>
      </c>
    </row>
    <row r="40" customFormat="false" ht="23.85" hidden="false" customHeight="false" outlineLevel="0" collapsed="false">
      <c r="A40" s="1"/>
      <c r="B40" s="28" t="n">
        <v>36</v>
      </c>
      <c r="C40" s="28" t="s">
        <v>318</v>
      </c>
      <c r="D40" s="57"/>
      <c r="E40" s="57" t="str">
        <f aca="false">'Cost Savings'!C4</f>
        <v>Claude Sonnet 5.5</v>
      </c>
      <c r="F40" s="57"/>
      <c r="G40" s="30" t="s">
        <v>319</v>
      </c>
      <c r="H40" s="31" t="s">
        <v>69</v>
      </c>
    </row>
    <row r="41" customFormat="false" ht="22.35" hidden="false" customHeight="false" outlineLevel="0" collapsed="false">
      <c r="A41" s="1"/>
      <c r="B41" s="28" t="n">
        <v>37</v>
      </c>
      <c r="C41" s="28" t="s">
        <v>320</v>
      </c>
      <c r="D41" s="57" t="n">
        <f aca="false">'Cost Savings'!C9</f>
        <v>3</v>
      </c>
      <c r="E41" s="57" t="n">
        <f aca="false">'Cost Savings'!D9</f>
        <v>3.5</v>
      </c>
      <c r="F41" s="57" t="n">
        <f aca="false">'Cost Savings'!E9</f>
        <v>4</v>
      </c>
      <c r="G41" s="30" t="s">
        <v>232</v>
      </c>
      <c r="H41" s="31" t="s">
        <v>233</v>
      </c>
    </row>
    <row r="42" customFormat="false" ht="15" hidden="false" customHeight="false" outlineLevel="0" collapsed="false">
      <c r="A42" s="1"/>
      <c r="B42" s="28" t="n">
        <v>38</v>
      </c>
      <c r="C42" s="28" t="s">
        <v>321</v>
      </c>
      <c r="D42" s="57" t="n">
        <f aca="false">'Cost Savings'!C11</f>
        <v>2</v>
      </c>
      <c r="E42" s="57" t="n">
        <f aca="false">'Cost Savings'!D11</f>
        <v>2</v>
      </c>
      <c r="F42" s="57" t="n">
        <f aca="false">'Cost Savings'!E11</f>
        <v>2</v>
      </c>
      <c r="G42" s="30" t="s">
        <v>235</v>
      </c>
      <c r="H42" s="31" t="s">
        <v>233</v>
      </c>
    </row>
    <row r="43" customFormat="false" ht="15" hidden="false" customHeight="false" outlineLevel="0" collapsed="false">
      <c r="A43" s="1"/>
      <c r="B43" s="28" t="n">
        <v>39</v>
      </c>
      <c r="C43" s="28" t="s">
        <v>322</v>
      </c>
      <c r="D43" s="57" t="n">
        <f aca="false">'Cost Savings'!C13</f>
        <v>50</v>
      </c>
      <c r="E43" s="57" t="n">
        <f aca="false">'Cost Savings'!D13</f>
        <v>50</v>
      </c>
      <c r="F43" s="57" t="n">
        <f aca="false">'Cost Savings'!E13</f>
        <v>50</v>
      </c>
      <c r="G43" s="30" t="s">
        <v>69</v>
      </c>
      <c r="H43" s="31" t="s">
        <v>69</v>
      </c>
    </row>
    <row r="44" customFormat="false" ht="22.35" hidden="false" customHeight="false" outlineLevel="0" collapsed="false">
      <c r="A44" s="1"/>
      <c r="B44" s="28" t="n">
        <v>40</v>
      </c>
      <c r="C44" s="28" t="s">
        <v>323</v>
      </c>
      <c r="D44" s="57" t="n">
        <f aca="false">'Cost Savings'!C15</f>
        <v>5000</v>
      </c>
      <c r="E44" s="57" t="n">
        <f aca="false">'Cost Savings'!D15</f>
        <v>5000</v>
      </c>
      <c r="F44" s="57" t="n">
        <f aca="false">'Cost Savings'!E15</f>
        <v>10000</v>
      </c>
      <c r="G44" s="30" t="s">
        <v>242</v>
      </c>
      <c r="H44" s="31" t="s">
        <v>243</v>
      </c>
    </row>
    <row r="45" customFormat="false" ht="15" hidden="false" customHeight="false" outlineLevel="0" collapsed="false">
      <c r="A45" s="1"/>
      <c r="B45" s="28" t="n">
        <v>41</v>
      </c>
      <c r="C45" s="28" t="s">
        <v>324</v>
      </c>
      <c r="D45" s="57" t="n">
        <f aca="false">'Cost Savings'!C20</f>
        <v>1</v>
      </c>
      <c r="E45" s="57" t="n">
        <f aca="false">'Cost Savings'!D20</f>
        <v>1</v>
      </c>
      <c r="F45" s="57" t="n">
        <f aca="false">'Cost Savings'!E20</f>
        <v>1</v>
      </c>
      <c r="G45" s="30" t="s">
        <v>250</v>
      </c>
      <c r="H45" s="31" t="s">
        <v>251</v>
      </c>
    </row>
    <row r="46" customFormat="false" ht="15" hidden="false" customHeight="false" outlineLevel="0" collapsed="false">
      <c r="A46" s="1"/>
      <c r="B46" s="28" t="n">
        <v>42</v>
      </c>
      <c r="C46" s="28" t="s">
        <v>325</v>
      </c>
      <c r="D46" s="57" t="n">
        <f aca="false">'Cost Savings'!C23</f>
        <v>5000</v>
      </c>
      <c r="E46" s="57" t="n">
        <f aca="false">'Cost Savings'!D23</f>
        <v>5000</v>
      </c>
      <c r="F46" s="57" t="n">
        <f aca="false">'Cost Savings'!E23</f>
        <v>5000</v>
      </c>
      <c r="G46" s="30" t="s">
        <v>255</v>
      </c>
      <c r="H46" s="31" t="s">
        <v>251</v>
      </c>
    </row>
    <row r="47" customFormat="false" ht="32.8" hidden="false" customHeight="false" outlineLevel="0" collapsed="false">
      <c r="A47" s="1"/>
      <c r="B47" s="28" t="n">
        <v>43</v>
      </c>
      <c r="C47" s="28" t="s">
        <v>326</v>
      </c>
      <c r="D47" s="57" t="n">
        <f aca="false">'Cost Savings'!C38</f>
        <v>23200</v>
      </c>
      <c r="E47" s="57" t="n">
        <f aca="false">'Cost Savings'!D38</f>
        <v>23200</v>
      </c>
      <c r="F47" s="57" t="n">
        <f aca="false">'Cost Savings'!E38</f>
        <v>23200</v>
      </c>
      <c r="G47" s="30" t="s">
        <v>275</v>
      </c>
      <c r="H47" s="31" t="s">
        <v>276</v>
      </c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1"/>
      <c r="C49" s="3" t="s">
        <v>327</v>
      </c>
      <c r="D49" s="1"/>
      <c r="E49" s="1"/>
      <c r="F49" s="1"/>
      <c r="G49" s="1"/>
      <c r="H4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2026-10-10T07:37:49Z</dcterms:created>
  <dc:creator>openpyxl</dc:creator>
  <dc:description/>
  <dc:language>en-US</dc:language>
  <cp:lastModifiedBy/>
  <dcterms:modified xsi:type="dcterms:W3CDTF">2026-10-10T07:37:49Z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